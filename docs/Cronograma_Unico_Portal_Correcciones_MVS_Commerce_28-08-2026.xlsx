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MVS Commerce\Proyecto POS MVS\mvs-commerce\docs\"/>
    </mc:Choice>
  </mc:AlternateContent>
  <xr:revisionPtr revIDLastSave="0" documentId="13_ncr:1_{B298AA6A-3D17-4210-9CFC-DD1C832B592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ronograma Maestro" sheetId="1" r:id="rId1"/>
    <sheet name="Portal Detalle" sheetId="2" r:id="rId2"/>
    <sheet name="Migración Completa" sheetId="3" r:id="rId3"/>
    <sheet name="Fidelización Pendiente" sheetId="4" r:id="rId4"/>
    <sheet name="Decisiones" sheetId="5" r:id="rId5"/>
    <sheet name="Reconciliación" sheetId="6" r:id="rId6"/>
    <sheet name="Resume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6" i="7"/>
  <c r="B5" i="7"/>
  <c r="B4" i="7"/>
</calcChain>
</file>

<file path=xl/sharedStrings.xml><?xml version="1.0" encoding="utf-8"?>
<sst xmlns="http://schemas.openxmlformats.org/spreadsheetml/2006/main" count="663" uniqueCount="391">
  <si>
    <t>MVS COMMERCE — CRONOGRAMA ÚNICO PORTAL + CORRECCIONES + MIGRACIÓN</t>
  </si>
  <si>
    <t>Versión consolidada: Portal primero; luego correcciones, migración, fidelización pendiente y cierre. Reemplaza los Excel de seguimiento anteriores.</t>
  </si>
  <si>
    <t>Código</t>
  </si>
  <si>
    <t>Fase</t>
  </si>
  <si>
    <t>Trabajo</t>
  </si>
  <si>
    <t>Prioridad</t>
  </si>
  <si>
    <t>Estado</t>
  </si>
  <si>
    <t>Evidencia / resultado</t>
  </si>
  <si>
    <t>Origen</t>
  </si>
  <si>
    <t>P01</t>
  </si>
  <si>
    <t>Portal de Clientes</t>
  </si>
  <si>
    <t>Registrarme / Crear mi cuenta en login público</t>
  </si>
  <si>
    <t>Crítica</t>
  </si>
  <si>
    <t>COMPLETADO</t>
  </si>
  <si>
    <t>10/10 tests P01–P03; enlace visible</t>
  </si>
  <si>
    <t>Actual</t>
  </si>
  <si>
    <t>P02</t>
  </si>
  <si>
    <t>Autorregistro por link/QR asociado a empresa correcta</t>
  </si>
  <si>
    <t>Aislamiento por company_id; cliente activo</t>
  </si>
  <si>
    <t>P03</t>
  </si>
  <si>
    <t>Deduplicación por identificación, teléfono normalizado y correo; bloquear conflictos entre clientes distintos</t>
  </si>
  <si>
    <t>10/10 tests, 46 aserciones</t>
  </si>
  <si>
    <t>P04</t>
  </si>
  <si>
    <t>Cliente nuevo visible inmediatamente en Clientes y búsqueda POS</t>
  </si>
  <si>
    <t>Prueba pos.customers.search aprobada</t>
  </si>
  <si>
    <t>P05</t>
  </si>
  <si>
    <t>Portal + Fidelización</t>
  </si>
  <si>
    <t>Crear/activar automáticamente cuenta de fidelización al autorregistrarse</t>
  </si>
  <si>
    <t>PENDIENTE</t>
  </si>
  <si>
    <t>Siguiente tarea</t>
  </si>
  <si>
    <t>P06</t>
  </si>
  <si>
    <t>Portal desde POS</t>
  </si>
  <si>
    <t>Crear acceso al Portal al registrar/crear cliente rápido</t>
  </si>
  <si>
    <t>Checkbox/acción desde POS/Clientes</t>
  </si>
  <si>
    <t>P07</t>
  </si>
  <si>
    <t>Credenciales</t>
  </si>
  <si>
    <t>Contraseña temporal única, mostrada una vez, con cambio obligatorio en primer ingreso</t>
  </si>
  <si>
    <t>No contraseña genérica compartida</t>
  </si>
  <si>
    <t>P08</t>
  </si>
  <si>
    <t>Compartir acceso</t>
  </si>
  <si>
    <t>Mostrar URL, usuario, Copiar acceso, WhatsApp y QR al cajero</t>
  </si>
  <si>
    <t>Cajero no memoriza URL</t>
  </si>
  <si>
    <t>P09</t>
  </si>
  <si>
    <t>Portal empresa</t>
  </si>
  <si>
    <t>Pantalla central con URL general, QR, copiar y vista previa</t>
  </si>
  <si>
    <t>Fidelización → Portal de Clientes</t>
  </si>
  <si>
    <t>P10</t>
  </si>
  <si>
    <t>Tarjeta digital</t>
  </si>
  <si>
    <t>Código público único del cliente sin exponer ID interno/cédula/teléfono</t>
  </si>
  <si>
    <t>Alta</t>
  </si>
  <si>
    <t>Base para QR y barcode</t>
  </si>
  <si>
    <t>P11</t>
  </si>
  <si>
    <t>QR individual + código de barras Code 128 generados por MVS</t>
  </si>
  <si>
    <t>Sin servicio externo</t>
  </si>
  <si>
    <t>P12</t>
  </si>
  <si>
    <t>POS</t>
  </si>
  <si>
    <t>Escaneo QR/Code128 para seleccionar automáticamente cliente en la venta</t>
  </si>
  <si>
    <t>Mantener búsqueda manual por nombre/teléfono/cédula/correo</t>
  </si>
  <si>
    <t>P13</t>
  </si>
  <si>
    <t>Seguridad</t>
  </si>
  <si>
    <t>PIN o QR temporal/de un solo uso para canjes y autorizaciones sensibles</t>
  </si>
  <si>
    <t>No confiar solo en QR estático</t>
  </si>
  <si>
    <t>P14</t>
  </si>
  <si>
    <t>Centro de Reglas</t>
  </si>
  <si>
    <t>Incentivo de registro configurable</t>
  </si>
  <si>
    <t>Habilitar/deshabilitar</t>
  </si>
  <si>
    <t>P15</t>
  </si>
  <si>
    <t>Beneficio: puntos, % descuento o descuento fijo</t>
  </si>
  <si>
    <t>Valor configurable</t>
  </si>
  <si>
    <t>P16</t>
  </si>
  <si>
    <t>Compra mínima, primera compra/después, excepción mínimo de canje, vencimiento</t>
  </si>
  <si>
    <t>Reglas comerciales definidas</t>
  </si>
  <si>
    <t>P17</t>
  </si>
  <si>
    <t>Sucursales, ofertas, descuento máximo y stacking/combinabilidad</t>
  </si>
  <si>
    <t>Condiciones por empresa</t>
  </si>
  <si>
    <t>P18</t>
  </si>
  <si>
    <t>Una vez por cliente + teléfono/correo verificado</t>
  </si>
  <si>
    <t>Prevención de abuso</t>
  </si>
  <si>
    <t>P19</t>
  </si>
  <si>
    <t>Auditoría</t>
  </si>
  <si>
    <t>Auditar incentivo: cliente, regla, beneficio, compra, sucursal, configurador y fecha</t>
  </si>
  <si>
    <t>Trazabilidad completa</t>
  </si>
  <si>
    <t>P20</t>
  </si>
  <si>
    <t>Branding Portal</t>
  </si>
  <si>
    <t>Logo, nombre y colores de empresa en portal/QR manteniendo identidad MVS</t>
  </si>
  <si>
    <t>Media</t>
  </si>
  <si>
    <t>Responsive móvil/escritorio</t>
  </si>
  <si>
    <t>P21</t>
  </si>
  <si>
    <t>Base SaaS</t>
  </si>
  <si>
    <t>Separación Platform Admin / Tenant Admin</t>
  </si>
  <si>
    <t>Commit a60425f</t>
  </si>
  <si>
    <t>Completado previamente</t>
  </si>
  <si>
    <t>P22</t>
  </si>
  <si>
    <t>Onboarding</t>
  </si>
  <si>
    <t>Empresa + primera sucursal + primer administrador</t>
  </si>
  <si>
    <t>P23</t>
  </si>
  <si>
    <t>Transferencias</t>
  </si>
  <si>
    <t>Auditar implementación existente de transferencias; no reconstruir</t>
  </si>
  <si>
    <t>Inventario → Transferencias ya existe</t>
  </si>
  <si>
    <t>Corrección</t>
  </si>
  <si>
    <t>P24</t>
  </si>
  <si>
    <t>Probar origen/destino, stock, Kardex, permisos y decidir instantánea vs envío/recepción</t>
  </si>
  <si>
    <t>Trazabilidad por sucursal</t>
  </si>
  <si>
    <t>P25</t>
  </si>
  <si>
    <t>UX</t>
  </si>
  <si>
    <t>Reparar/terminar sidebar responsive</t>
  </si>
  <si>
    <t>Desktop/tablet/móvil</t>
  </si>
  <si>
    <t>P26</t>
  </si>
  <si>
    <t>Formatos</t>
  </si>
  <si>
    <t>Nombres claros 58 mm, 80 mm, Carta, etc.</t>
  </si>
  <si>
    <t>Vista previa y configuración clara</t>
  </si>
  <si>
    <t>P27</t>
  </si>
  <si>
    <t>Demo</t>
  </si>
  <si>
    <t>Crear empresa/sucursal MVS Commerce Demo con datos ficticios</t>
  </si>
  <si>
    <t>Sin datos reales</t>
  </si>
  <si>
    <t>P28</t>
  </si>
  <si>
    <t>Usuario administrativo demo + cliente Portal demo + QR demo</t>
  </si>
  <si>
    <t>Recorrido demostrable</t>
  </si>
  <si>
    <t>P29</t>
  </si>
  <si>
    <t>Bloquear operaciones peligrosas y comunicaciones reales</t>
  </si>
  <si>
    <t>Entorno seguro</t>
  </si>
  <si>
    <t>P30</t>
  </si>
  <si>
    <t>Reset automático de datos ficticios</t>
  </si>
  <si>
    <t>Restauración reproducible</t>
  </si>
  <si>
    <t>P31</t>
  </si>
  <si>
    <t>Centro de Datos</t>
  </si>
  <si>
    <t>Auditar importadores/exportadores/plantillas existentes antes de construir</t>
  </si>
  <si>
    <t>No duplicar funcionalidad existente</t>
  </si>
  <si>
    <t>Migración</t>
  </si>
  <si>
    <t>P32</t>
  </si>
  <si>
    <t>Importar clientes desde Excel con deduplicación y datos de contacto</t>
  </si>
  <si>
    <t>Cliente disponible para historial y POS</t>
  </si>
  <si>
    <t>P33</t>
  </si>
  <si>
    <t>Importar productos, códigos, precios y catálogo; inventario opcional</t>
  </si>
  <si>
    <t>Errores por fila y plantilla</t>
  </si>
  <si>
    <t>P34</t>
  </si>
  <si>
    <t>Ventas históricas</t>
  </si>
  <si>
    <t>Importar encabezados de facturas: fecha, cliente, sucursal, totales y origen</t>
  </si>
  <si>
    <t>Histórico sin afectar caja</t>
  </si>
  <si>
    <t>P35</t>
  </si>
  <si>
    <t>Importar detalle por artículo + cliente + sucursal + fecha</t>
  </si>
  <si>
    <t>Permite saber qué compró cada cliente y su última compra</t>
  </si>
  <si>
    <t>P36</t>
  </si>
  <si>
    <t>Inventario/Kardex</t>
  </si>
  <si>
    <t>Importar inventario inicial y Kardex histórico por sucursal</t>
  </si>
  <si>
    <t>Modo histórico no altera stock actual por defecto</t>
  </si>
  <si>
    <t>P37</t>
  </si>
  <si>
    <t>Fidelización</t>
  </si>
  <si>
    <t>Importar saldos y movimientos históricos de puntos</t>
  </si>
  <si>
    <t>Conciliación por cliente</t>
  </si>
  <si>
    <t>P38</t>
  </si>
  <si>
    <t>Exportaciones</t>
  </si>
  <si>
    <t>Exportar paquete completo: clientes, productos, facturas, líneas, Kardex y puntos</t>
  </si>
  <si>
    <t>Migración futura sin dependencia</t>
  </si>
  <si>
    <t>P39</t>
  </si>
  <si>
    <t>Control migración</t>
  </si>
  <si>
    <t>Vista previa, conciliación, errores descargables, reintento y rollback</t>
  </si>
  <si>
    <t>Ensayo sin duplicados ni pérdida</t>
  </si>
  <si>
    <t>P40</t>
  </si>
  <si>
    <t>Ensayo de migración completa + conciliación final por cliente/sucursal/artículo</t>
  </si>
  <si>
    <t>Última compra, ventas, Kardex y saldos coinciden</t>
  </si>
  <si>
    <t>P41</t>
  </si>
  <si>
    <t>Auditar cronograma antiguo de fidelización contra código/docs actuales antes de construir pendientes</t>
  </si>
  <si>
    <t>El Excel del 23-08 está desactualizado; no reconstruir lo ya hecho</t>
  </si>
  <si>
    <t>P42</t>
  </si>
  <si>
    <t>Auditar Premios: stock/disponibilidad, canjes e historial; implementar solo brechas reales</t>
  </si>
  <si>
    <t>F19 CRUD ya fue completado previamente</t>
  </si>
  <si>
    <t>P43</t>
  </si>
  <si>
    <t>Vencimiento configurable + vencimiento automático trazable</t>
  </si>
  <si>
    <t>Confirmar primero si ya existe parcial</t>
  </si>
  <si>
    <t>P44</t>
  </si>
  <si>
    <t>Auditar Centro de Reglas y ajustes manuales; completar brechas reales</t>
  </si>
  <si>
    <t>No duplicar Centro de Reglas existente</t>
  </si>
  <si>
    <t>P45</t>
  </si>
  <si>
    <t>Auditar saldo global y canje entre sucursales; completar brechas reales</t>
  </si>
  <si>
    <t>Aislamiento empresa, saldo compartido por tenant</t>
  </si>
  <si>
    <t>P46</t>
  </si>
  <si>
    <t>Fidelización online</t>
  </si>
  <si>
    <t>Acumulación y canje online sobre saldo central</t>
  </si>
  <si>
    <t>Auditar integración existente antes de construir</t>
  </si>
  <si>
    <t>P47</t>
  </si>
  <si>
    <t>Permisos Fidelización</t>
  </si>
  <si>
    <t>Auditar permisos administrador/cajero/portal</t>
  </si>
  <si>
    <t>403/permitido correcto</t>
  </si>
  <si>
    <t>P48</t>
  </si>
  <si>
    <t>Dashboard Fidelización</t>
  </si>
  <si>
    <t>Auditar/completar indicadores empresa y sucursal</t>
  </si>
  <si>
    <t>Clientes, generados, canjeados, vencidos, saldo</t>
  </si>
  <si>
    <t>P49</t>
  </si>
  <si>
    <t>Calidad</t>
  </si>
  <si>
    <t>Regresión completa Portal + Fidelización + POS + Inventario + migraciones</t>
  </si>
  <si>
    <t>Suite verde; documentar fallos históricos reales</t>
  </si>
  <si>
    <t>Cierre</t>
  </si>
  <si>
    <t>P50</t>
  </si>
  <si>
    <t>Producción</t>
  </si>
  <si>
    <t>Instalación limpia, colas/scheduler, despliegue, prueba de humo y rollback</t>
  </si>
  <si>
    <t>Producción repetible y respaldada</t>
  </si>
  <si>
    <t>PORTAL DE CLIENTES — BLOQUE PRIORITARIO</t>
  </si>
  <si>
    <t>Área</t>
  </si>
  <si>
    <t>Resultado esperado</t>
  </si>
  <si>
    <t>Evidencia / nota</t>
  </si>
  <si>
    <t>Acceso público</t>
  </si>
  <si>
    <t>Mostrar Registrarme / Crear mi cuenta</t>
  </si>
  <si>
    <t>Link visible en login</t>
  </si>
  <si>
    <t>Autorregistro</t>
  </si>
  <si>
    <t>Registro por link/QR en empresa de la URL</t>
  </si>
  <si>
    <t>company_id aislado</t>
  </si>
  <si>
    <t>Identidad</t>
  </si>
  <si>
    <t>Dedup ID/teléfono/email + conflicto seguro</t>
  </si>
  <si>
    <t>10/10, 46 aserciones</t>
  </si>
  <si>
    <t>Cliente activo visible inmediatamente</t>
  </si>
  <si>
    <t>pos.customers.search</t>
  </si>
  <si>
    <t>Fidelidad</t>
  </si>
  <si>
    <t>Crear/activar cuenta loyalty al registrarse</t>
  </si>
  <si>
    <t>Siguiente</t>
  </si>
  <si>
    <t>POS/Clientes</t>
  </si>
  <si>
    <t>Crear acceso Portal al alta rápida</t>
  </si>
  <si>
    <t>Credencial</t>
  </si>
  <si>
    <t>Password temporal única + cambio obligatorio</t>
  </si>
  <si>
    <t>Compartir</t>
  </si>
  <si>
    <t>Copiar acceso + WhatsApp + QR</t>
  </si>
  <si>
    <t>URL general + QR + preview</t>
  </si>
  <si>
    <t>Tarjeta cliente</t>
  </si>
  <si>
    <t>Código público único</t>
  </si>
  <si>
    <t>QR individual + Code128</t>
  </si>
  <si>
    <t>Escaneo selecciona cliente</t>
  </si>
  <si>
    <t>PIN/QR temporal para canjes/autorizaciones</t>
  </si>
  <si>
    <t>Reglas</t>
  </si>
  <si>
    <t>Incentivo de registro</t>
  </si>
  <si>
    <t>Puntos / % / fijo</t>
  </si>
  <si>
    <t>Compra mínima, primera compra, mínimo excepcional, vencimiento</t>
  </si>
  <si>
    <t>Sucursales, ofertas, máximo, stacking</t>
  </si>
  <si>
    <t>Una vez + contacto verificado</t>
  </si>
  <si>
    <t>Cliente/regla/beneficio/compra/sucursal/configurador</t>
  </si>
  <si>
    <t>Branding</t>
  </si>
  <si>
    <t>Logo/nombre/colores por empresa</t>
  </si>
  <si>
    <t>MIGRACIÓN COMPLETA — IMPORTAR Y EXPORTAR</t>
  </si>
  <si>
    <t>Criterio clave</t>
  </si>
  <si>
    <t>Importadores/exportadores/plantillas existentes</t>
  </si>
  <si>
    <t>No duplicar lo existente</t>
  </si>
  <si>
    <t>Clientes</t>
  </si>
  <si>
    <t>Importar clientes desde Excel</t>
  </si>
  <si>
    <t>Dedup; datos contacto; disponible en POS</t>
  </si>
  <si>
    <t>Productos</t>
  </si>
  <si>
    <t>Importar catálogo/productos</t>
  </si>
  <si>
    <t>Códigos, precios, inventario opcional</t>
  </si>
  <si>
    <t>Facturas</t>
  </si>
  <si>
    <t>Importar encabezados históricos</t>
  </si>
  <si>
    <t>Fecha, cliente, sucursal, totales, origen</t>
  </si>
  <si>
    <t>Detalle ventas</t>
  </si>
  <si>
    <t>Importar artículo + cliente + sucursal + fecha</t>
  </si>
  <si>
    <t>Saber qué compró y última compra real</t>
  </si>
  <si>
    <t>Importar inventario inicial y Kardex histórico</t>
  </si>
  <si>
    <t>Trazable por sucursal; modo histórico seguro</t>
  </si>
  <si>
    <t>Puntos</t>
  </si>
  <si>
    <t>Importar saldos y movimientos de fidelidad</t>
  </si>
  <si>
    <t>Conciliar por cliente</t>
  </si>
  <si>
    <t>Exportación</t>
  </si>
  <si>
    <t>Paquete completo de migración</t>
  </si>
  <si>
    <t>Clientes, productos, facturas, líneas, Kardex, puntos</t>
  </si>
  <si>
    <t>Control</t>
  </si>
  <si>
    <t>Preview, conciliación, errores, reintento, rollback</t>
  </si>
  <si>
    <t>Sin pérdida ni duplicados</t>
  </si>
  <si>
    <t>Ensayo</t>
  </si>
  <si>
    <t>Migración completa y conciliación final</t>
  </si>
  <si>
    <t>Cliente/última compra/artículo/sucursal/Kardex/puntos</t>
  </si>
  <si>
    <t>FIDELIZACIÓN — RECONCILIACIÓN DEL MAESTRO ANTIGUO</t>
  </si>
  <si>
    <t>Referencia vieja</t>
  </si>
  <si>
    <t>Estado consolidado</t>
  </si>
  <si>
    <t>Tratamiento en nuevo cronograma</t>
  </si>
  <si>
    <t>Observación</t>
  </si>
  <si>
    <t>F01–F18</t>
  </si>
  <si>
    <t>COMPLETADO previamente</t>
  </si>
  <si>
    <t>No reconstruir</t>
  </si>
  <si>
    <t>Cronograma viejo no refleja avances posteriores</t>
  </si>
  <si>
    <t>F19 Premios CRUD</t>
  </si>
  <si>
    <t>Auditar stock/canje/historial en P42</t>
  </si>
  <si>
    <t>No volver a crear CRUD</t>
  </si>
  <si>
    <t>F20–F21 Premios stock/historial</t>
  </si>
  <si>
    <t>PENDIENTE DE AUDITORÍA</t>
  </si>
  <si>
    <t>Construir solo brecha real</t>
  </si>
  <si>
    <t>F22–F23 Vencimiento</t>
  </si>
  <si>
    <t>Confirmar código antes</t>
  </si>
  <si>
    <t>F24 Centro de reglas</t>
  </si>
  <si>
    <t>EXISTE PARCIAL/ACTUAL</t>
  </si>
  <si>
    <t>P14–P19 + P44</t>
  </si>
  <si>
    <t>Registro incentive se hará en Portal; auditar resto</t>
  </si>
  <si>
    <t>F25 Ajuste manual</t>
  </si>
  <si>
    <t>No asumir ausente</t>
  </si>
  <si>
    <t>F26–F27 Multisucursal</t>
  </si>
  <si>
    <t>Auditar saldo/canje cruzado</t>
  </si>
  <si>
    <t>F28 Anulación</t>
  </si>
  <si>
    <t>Ya trazable</t>
  </si>
  <si>
    <t>F29 Devolución</t>
  </si>
  <si>
    <t>Servicio de ajuste por devolución ya realizado</t>
  </si>
  <si>
    <t>F30–F35 Portal</t>
  </si>
  <si>
    <t>PARCIAL / EN TRABAJO</t>
  </si>
  <si>
    <t>P01–P20</t>
  </si>
  <si>
    <t>El nuevo bloque Portal sustituye esta parte</t>
  </si>
  <si>
    <t>F36–F37 Online</t>
  </si>
  <si>
    <t>Después del Portal y migración</t>
  </si>
  <si>
    <t>F38–F39 Permisos</t>
  </si>
  <si>
    <t>Validar administrador/cajero/portal</t>
  </si>
  <si>
    <t>F40–F41 Dashboard</t>
  </si>
  <si>
    <t>Completar solo brechas</t>
  </si>
  <si>
    <t>F42–F45 Calidad/cierre</t>
  </si>
  <si>
    <t>P49–P50</t>
  </si>
  <si>
    <t>Regresión y producción final</t>
  </si>
  <si>
    <t>DECISIONES OFICIALES</t>
  </si>
  <si>
    <t>ID</t>
  </si>
  <si>
    <t>Tema</t>
  </si>
  <si>
    <t>Decisión</t>
  </si>
  <si>
    <t>Motivo</t>
  </si>
  <si>
    <t>D01</t>
  </si>
  <si>
    <t>Orden</t>
  </si>
  <si>
    <t>Primero cerrar Portal de Clientes P01–P20; luego correcciones/migración/fidelización pendiente.</t>
  </si>
  <si>
    <t>Evita mezclar trabajos</t>
  </si>
  <si>
    <t>D02</t>
  </si>
  <si>
    <t>Cronograma</t>
  </si>
  <si>
    <t>Este archivo reemplaza los Excel anteriores de seguimiento general.</t>
  </si>
  <si>
    <t>Una sola numeración</t>
  </si>
  <si>
    <t>D03</t>
  </si>
  <si>
    <t>Agentes</t>
  </si>
  <si>
    <t>docs/CRONOGRAMA_PRODUCCION.md debe sincronizarse con este cronograma y leerse antes de trabajar.</t>
  </si>
  <si>
    <t>Memoria oficial</t>
  </si>
  <si>
    <t>D04</t>
  </si>
  <si>
    <t>Portal</t>
  </si>
  <si>
    <t>Cliente Portal no es usuario empleado.</t>
  </si>
  <si>
    <t>Privacidad</t>
  </si>
  <si>
    <t>D05</t>
  </si>
  <si>
    <t>QR</t>
  </si>
  <si>
    <t>Registro QR/link siempre queda ligado a empresa correcta.</t>
  </si>
  <si>
    <t>Multiempresa</t>
  </si>
  <si>
    <t>D06</t>
  </si>
  <si>
    <t>Conflictos entre coincidencias de clientes distintos bloquean; no fusionar.</t>
  </si>
  <si>
    <t>D07</t>
  </si>
  <si>
    <t>Contraseña temporal única; no usar genérica compartida.</t>
  </si>
  <si>
    <t>D08</t>
  </si>
  <si>
    <t>QR/barcode los genera MVS; no comprar ni depender de web externa.</t>
  </si>
  <si>
    <t>Operación</t>
  </si>
  <si>
    <t>D09</t>
  </si>
  <si>
    <t>Autorización</t>
  </si>
  <si>
    <t>Canjes sensibles usarán PIN o QR temporal adicional.</t>
  </si>
  <si>
    <t>Evitar abuso por captura</t>
  </si>
  <si>
    <t>D10</t>
  </si>
  <si>
    <t>Toda importación crítica tendrá exportación equivalente.</t>
  </si>
  <si>
    <t>Portabilidad</t>
  </si>
  <si>
    <t>D11</t>
  </si>
  <si>
    <t>Históricos</t>
  </si>
  <si>
    <t>Importar histórico no altera caja/stock actual por defecto.</t>
  </si>
  <si>
    <t>Seguridad operativa</t>
  </si>
  <si>
    <t>D12</t>
  </si>
  <si>
    <t>Migración cliente</t>
  </si>
  <si>
    <t>Detalle histórico debe permitir saber qué compró, cuándo, sucursal y última compra.</t>
  </si>
  <si>
    <t>CRM/ventas</t>
  </si>
  <si>
    <t>D13</t>
  </si>
  <si>
    <t>El maestro viejo del 23-08 sirve como referencia, pero se audita contra código/docs antes de construir.</t>
  </si>
  <si>
    <t>Evitar duplicados</t>
  </si>
  <si>
    <t>RECONCILIACIÓN DE LOS 3 EXCEL ORIGINALES</t>
  </si>
  <si>
    <t>Archivo revisado</t>
  </si>
  <si>
    <t>Qué sirve</t>
  </si>
  <si>
    <t>Problema detectado</t>
  </si>
  <si>
    <t>Cronograma_Maestro_Produccion_28-08-2026</t>
  </si>
  <si>
    <t>Portal P01–P20 y estado P21/P22 previos</t>
  </si>
  <si>
    <t>No contiene migración completa ni fidelización pendiente</t>
  </si>
  <si>
    <t>Base del bloque Portal, actualizado</t>
  </si>
  <si>
    <t>Cronograma_Correcciones_Produccion_29-08-2026</t>
  </si>
  <si>
    <t>Migración completa, demo, UX, transferencias y decisiones</t>
  </si>
  <si>
    <t>Reutiliza P01–P29 con otro significado; entra en conflicto con Portal</t>
  </si>
  <si>
    <t>Contenido conservado y renumerado</t>
  </si>
  <si>
    <t>Cronograma_Maestro_Fidelizacion_23-08-2026</t>
  </si>
  <si>
    <t>Mapa histórico F01–F45</t>
  </si>
  <si>
    <t>Está desactualizado: marca pendientes trabajos ya completados después</t>
  </si>
  <si>
    <t>Solo pendientes pasan como auditoría; no reconstruir completados</t>
  </si>
  <si>
    <t>RESUMEN EJECUTIVO</t>
  </si>
  <si>
    <t>Indicador</t>
  </si>
  <si>
    <t>Valor</t>
  </si>
  <si>
    <t>Bloque</t>
  </si>
  <si>
    <t>Total tareas</t>
  </si>
  <si>
    <t>Portal de Clientes P01–P20</t>
  </si>
  <si>
    <t>EN CURSO</t>
  </si>
  <si>
    <t>Completadas</t>
  </si>
  <si>
    <t>Correcciones P21–P30</t>
  </si>
  <si>
    <t>PENDIENTE / 2 completadas previas</t>
  </si>
  <si>
    <t>Pendientes</t>
  </si>
  <si>
    <t>Migración completa P31–P40</t>
  </si>
  <si>
    <t>Portal completadas</t>
  </si>
  <si>
    <t>Fidelización pendiente P41–P48</t>
  </si>
  <si>
    <t>AUDITAR ANTES</t>
  </si>
  <si>
    <t>Próxima tarea</t>
  </si>
  <si>
    <t>Calidad/Producción P49–P50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</si>
</sst>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5"/>
      <color rgb="FFFFFFFF"/>
      <name val="Carlito"/>
    </font>
    <font>
      <i/>
      <sz val="11"/>
      <color rgb="FF1E3A8A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E40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color rgb="FF475569"/>
      </font>
      <fill>
        <patternFill patternType="solid">
          <bgColor rgb="FFF1F5F9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t>Estado general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Resumen!$A$4:$A$6</c:f>
              <c:strCache>
                <c:ptCount val="3"/>
                <c:pt idx="0">
                  <c:v>Total tareas</c:v>
                </c:pt>
                <c:pt idx="1">
                  <c:v>Completadas</c:v>
                </c:pt>
                <c:pt idx="2">
                  <c:v>Pendientes</c:v>
                </c:pt>
              </c:strCache>
            </c:strRef>
          </c:cat>
          <c:val>
            <c:numRef>
              <c:f>Resumen!$B$4:$B$6</c:f>
              <c:numCache>
                <c:formatCode>General</c:formatCode>
                <c:ptCount val="3"/>
                <c:pt idx="0">
                  <c:v>50</c:v>
                </c:pt>
                <c:pt idx="1">
                  <c:v>6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0-4108-87A8-2D813BCE3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ronogramaUnico" displayName="CronogramaUnico" ref="A4:G54" totalsRowShown="0">
  <tableColumns count="7">
    <tableColumn id="1" xr3:uid="{00000000-0010-0000-0000-000001000000}" name="Código"/>
    <tableColumn id="2" xr3:uid="{00000000-0010-0000-0000-000002000000}" name="Fase"/>
    <tableColumn id="3" xr3:uid="{00000000-0010-0000-0000-000003000000}" name="Trabajo"/>
    <tableColumn id="4" xr3:uid="{00000000-0010-0000-0000-000004000000}" name="Prioridad"/>
    <tableColumn id="5" xr3:uid="{00000000-0010-0000-0000-000005000000}" name="Estado"/>
    <tableColumn id="6" xr3:uid="{00000000-0010-0000-0000-000006000000}" name="Evidencia / resultado"/>
    <tableColumn id="7" xr3:uid="{00000000-0010-0000-0000-000007000000}" name="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alTable" displayName="PortalTable" ref="A3:E23" totalsRowShown="0">
  <tableColumns count="5">
    <tableColumn id="1" xr3:uid="{00000000-0010-0000-0100-000001000000}" name="Código"/>
    <tableColumn id="2" xr3:uid="{00000000-0010-0000-0100-000002000000}" name="Área"/>
    <tableColumn id="3" xr3:uid="{00000000-0010-0000-0100-000003000000}" name="Resultado esperado"/>
    <tableColumn id="4" xr3:uid="{00000000-0010-0000-0100-000004000000}" name="Estado"/>
    <tableColumn id="5" xr3:uid="{00000000-0010-0000-0100-000005000000}" name="Evidencia / 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igrationTable" displayName="MigrationTable" ref="A3:E13" totalsRowShown="0">
  <tableColumns count="5">
    <tableColumn id="1" xr3:uid="{00000000-0010-0000-0200-000001000000}" name="Código"/>
    <tableColumn id="2" xr3:uid="{00000000-0010-0000-0200-000002000000}" name="Área"/>
    <tableColumn id="3" xr3:uid="{00000000-0010-0000-0200-000003000000}" name="Trabajo"/>
    <tableColumn id="4" xr3:uid="{00000000-0010-0000-0200-000004000000}" name="Criterio clave"/>
    <tableColumn id="5" xr3:uid="{00000000-0010-0000-0200-000005000000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idelityReconcile" displayName="FidelityReconcile" ref="A3:D17" totalsRowShown="0">
  <tableColumns count="4">
    <tableColumn id="1" xr3:uid="{00000000-0010-0000-0300-000001000000}" name="Referencia vieja"/>
    <tableColumn id="2" xr3:uid="{00000000-0010-0000-0300-000002000000}" name="Estado consolidado"/>
    <tableColumn id="3" xr3:uid="{00000000-0010-0000-0300-000003000000}" name="Tratamiento en nuevo cronograma"/>
    <tableColumn id="4" xr3:uid="{00000000-0010-0000-0300-000004000000}" name="Observació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Table" displayName="DecisionTable" ref="A3:D16" totalsRowShown="0">
  <tableColumns count="4">
    <tableColumn id="1" xr3:uid="{00000000-0010-0000-0400-000001000000}" name="ID"/>
    <tableColumn id="2" xr3:uid="{00000000-0010-0000-0400-000002000000}" name="Tema"/>
    <tableColumn id="3" xr3:uid="{00000000-0010-0000-0400-000003000000}" name="Decisión"/>
    <tableColumn id="4" xr3:uid="{00000000-0010-0000-0400-000004000000}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concileTable" displayName="ReconcileTable" ref="A3:D6" totalsRowShown="0">
  <tableColumns count="4">
    <tableColumn id="1" xr3:uid="{00000000-0010-0000-0500-000001000000}" name="Archivo revisado"/>
    <tableColumn id="2" xr3:uid="{00000000-0010-0000-0500-000002000000}" name="Qué sirve"/>
    <tableColumn id="3" xr3:uid="{00000000-0010-0000-0500-000003000000}" name="Problema detectado"/>
    <tableColumn id="4" xr3:uid="{00000000-0010-0000-0500-000004000000}" name="Decis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tabSelected="1" workbookViewId="0">
      <selection sqref="A1:G1"/>
    </sheetView>
  </sheetViews>
  <sheetFormatPr baseColWidth="10" defaultColWidth="9" defaultRowHeight="14.25"/>
  <cols>
    <col min="1" max="1" width="10" customWidth="1"/>
    <col min="2" max="2" width="22" customWidth="1"/>
    <col min="3" max="3" width="58" customWidth="1"/>
    <col min="4" max="4" width="12" customWidth="1"/>
    <col min="5" max="5" width="18" customWidth="1"/>
    <col min="6" max="6" width="44" customWidth="1"/>
    <col min="7" max="7" width="22" customWidth="1"/>
  </cols>
  <sheetData>
    <row r="1" spans="1:7" ht="19.5">
      <c r="A1" s="3" t="s">
        <v>0</v>
      </c>
      <c r="B1" s="3"/>
      <c r="C1" s="3"/>
      <c r="D1" s="3"/>
      <c r="E1" s="3"/>
      <c r="F1" s="3"/>
      <c r="G1" s="3"/>
    </row>
    <row r="2" spans="1:7">
      <c r="A2" s="4" t="s">
        <v>1</v>
      </c>
      <c r="B2" s="4"/>
      <c r="C2" s="4"/>
      <c r="D2" s="4"/>
      <c r="E2" s="4"/>
      <c r="F2" s="4"/>
      <c r="G2" s="4"/>
    </row>
    <row r="4" spans="1:7" ht="1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15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</row>
    <row r="6" spans="1:7" ht="15">
      <c r="A6" s="2" t="s">
        <v>16</v>
      </c>
      <c r="B6" s="2" t="s">
        <v>10</v>
      </c>
      <c r="C6" s="2" t="s">
        <v>17</v>
      </c>
      <c r="D6" s="2" t="s">
        <v>12</v>
      </c>
      <c r="E6" s="2" t="s">
        <v>13</v>
      </c>
      <c r="F6" s="2" t="s">
        <v>18</v>
      </c>
      <c r="G6" s="2" t="s">
        <v>15</v>
      </c>
    </row>
    <row r="7" spans="1:7" ht="29.25">
      <c r="A7" s="2" t="s">
        <v>19</v>
      </c>
      <c r="B7" s="2" t="s">
        <v>10</v>
      </c>
      <c r="C7" s="2" t="s">
        <v>20</v>
      </c>
      <c r="D7" s="2" t="s">
        <v>12</v>
      </c>
      <c r="E7" s="2" t="s">
        <v>13</v>
      </c>
      <c r="F7" s="2" t="s">
        <v>21</v>
      </c>
      <c r="G7" s="2" t="s">
        <v>15</v>
      </c>
    </row>
    <row r="8" spans="1:7" ht="15">
      <c r="A8" s="2" t="s">
        <v>22</v>
      </c>
      <c r="B8" s="2" t="s">
        <v>10</v>
      </c>
      <c r="C8" s="2" t="s">
        <v>23</v>
      </c>
      <c r="D8" s="2" t="s">
        <v>12</v>
      </c>
      <c r="E8" s="2" t="s">
        <v>13</v>
      </c>
      <c r="F8" s="2" t="s">
        <v>24</v>
      </c>
      <c r="G8" s="2" t="s">
        <v>15</v>
      </c>
    </row>
    <row r="9" spans="1:7" ht="28.5">
      <c r="A9" s="2" t="s">
        <v>25</v>
      </c>
      <c r="B9" s="2" t="s">
        <v>26</v>
      </c>
      <c r="C9" s="2" t="s">
        <v>27</v>
      </c>
      <c r="D9" s="2" t="s">
        <v>12</v>
      </c>
      <c r="E9" s="2" t="s">
        <v>28</v>
      </c>
      <c r="F9" s="2" t="s">
        <v>29</v>
      </c>
      <c r="G9" s="2" t="s">
        <v>15</v>
      </c>
    </row>
    <row r="10" spans="1:7">
      <c r="A10" s="2" t="s">
        <v>30</v>
      </c>
      <c r="B10" s="2" t="s">
        <v>31</v>
      </c>
      <c r="C10" s="2" t="s">
        <v>32</v>
      </c>
      <c r="D10" s="2" t="s">
        <v>12</v>
      </c>
      <c r="E10" s="2" t="s">
        <v>28</v>
      </c>
      <c r="F10" s="2" t="s">
        <v>33</v>
      </c>
      <c r="G10" s="2" t="s">
        <v>15</v>
      </c>
    </row>
    <row r="11" spans="1:7" ht="28.5">
      <c r="A11" s="2" t="s">
        <v>34</v>
      </c>
      <c r="B11" s="2" t="s">
        <v>35</v>
      </c>
      <c r="C11" s="2" t="s">
        <v>36</v>
      </c>
      <c r="D11" s="2" t="s">
        <v>12</v>
      </c>
      <c r="E11" s="2" t="s">
        <v>28</v>
      </c>
      <c r="F11" s="2" t="s">
        <v>37</v>
      </c>
      <c r="G11" s="2" t="s">
        <v>15</v>
      </c>
    </row>
    <row r="12" spans="1:7">
      <c r="A12" s="2" t="s">
        <v>38</v>
      </c>
      <c r="B12" s="2" t="s">
        <v>39</v>
      </c>
      <c r="C12" s="2" t="s">
        <v>40</v>
      </c>
      <c r="D12" s="2" t="s">
        <v>12</v>
      </c>
      <c r="E12" s="2" t="s">
        <v>28</v>
      </c>
      <c r="F12" s="2" t="s">
        <v>41</v>
      </c>
      <c r="G12" s="2" t="s">
        <v>15</v>
      </c>
    </row>
    <row r="13" spans="1:7">
      <c r="A13" s="2" t="s">
        <v>42</v>
      </c>
      <c r="B13" s="2" t="s">
        <v>43</v>
      </c>
      <c r="C13" s="2" t="s">
        <v>44</v>
      </c>
      <c r="D13" s="2" t="s">
        <v>12</v>
      </c>
      <c r="E13" s="2" t="s">
        <v>28</v>
      </c>
      <c r="F13" s="2" t="s">
        <v>45</v>
      </c>
      <c r="G13" s="2" t="s">
        <v>15</v>
      </c>
    </row>
    <row r="14" spans="1:7" ht="28.5">
      <c r="A14" s="2" t="s">
        <v>46</v>
      </c>
      <c r="B14" s="2" t="s">
        <v>47</v>
      </c>
      <c r="C14" s="2" t="s">
        <v>48</v>
      </c>
      <c r="D14" s="2" t="s">
        <v>49</v>
      </c>
      <c r="E14" s="2" t="s">
        <v>28</v>
      </c>
      <c r="F14" s="2" t="s">
        <v>50</v>
      </c>
      <c r="G14" s="2" t="s">
        <v>15</v>
      </c>
    </row>
    <row r="15" spans="1:7">
      <c r="A15" s="2" t="s">
        <v>51</v>
      </c>
      <c r="B15" s="2" t="s">
        <v>47</v>
      </c>
      <c r="C15" s="2" t="s">
        <v>52</v>
      </c>
      <c r="D15" s="2" t="s">
        <v>49</v>
      </c>
      <c r="E15" s="2" t="s">
        <v>28</v>
      </c>
      <c r="F15" s="2" t="s">
        <v>53</v>
      </c>
      <c r="G15" s="2" t="s">
        <v>15</v>
      </c>
    </row>
    <row r="16" spans="1:7" ht="28.5">
      <c r="A16" s="2" t="s">
        <v>54</v>
      </c>
      <c r="B16" s="2" t="s">
        <v>55</v>
      </c>
      <c r="C16" s="2" t="s">
        <v>56</v>
      </c>
      <c r="D16" s="2" t="s">
        <v>49</v>
      </c>
      <c r="E16" s="2" t="s">
        <v>28</v>
      </c>
      <c r="F16" s="2" t="s">
        <v>57</v>
      </c>
      <c r="G16" s="2" t="s">
        <v>15</v>
      </c>
    </row>
    <row r="17" spans="1:7" ht="28.5">
      <c r="A17" s="2" t="s">
        <v>58</v>
      </c>
      <c r="B17" s="2" t="s">
        <v>59</v>
      </c>
      <c r="C17" s="2" t="s">
        <v>60</v>
      </c>
      <c r="D17" s="2" t="s">
        <v>49</v>
      </c>
      <c r="E17" s="2" t="s">
        <v>28</v>
      </c>
      <c r="F17" s="2" t="s">
        <v>61</v>
      </c>
      <c r="G17" s="2" t="s">
        <v>15</v>
      </c>
    </row>
    <row r="18" spans="1:7">
      <c r="A18" s="2" t="s">
        <v>62</v>
      </c>
      <c r="B18" s="2" t="s">
        <v>63</v>
      </c>
      <c r="C18" s="2" t="s">
        <v>64</v>
      </c>
      <c r="D18" s="2" t="s">
        <v>12</v>
      </c>
      <c r="E18" s="2" t="s">
        <v>28</v>
      </c>
      <c r="F18" s="2" t="s">
        <v>65</v>
      </c>
      <c r="G18" s="2" t="s">
        <v>15</v>
      </c>
    </row>
    <row r="19" spans="1:7">
      <c r="A19" s="2" t="s">
        <v>66</v>
      </c>
      <c r="B19" s="2" t="s">
        <v>63</v>
      </c>
      <c r="C19" s="2" t="s">
        <v>67</v>
      </c>
      <c r="D19" s="2" t="s">
        <v>49</v>
      </c>
      <c r="E19" s="2" t="s">
        <v>28</v>
      </c>
      <c r="F19" s="2" t="s">
        <v>68</v>
      </c>
      <c r="G19" s="2" t="s">
        <v>15</v>
      </c>
    </row>
    <row r="20" spans="1:7" ht="28.5">
      <c r="A20" s="2" t="s">
        <v>69</v>
      </c>
      <c r="B20" s="2" t="s">
        <v>63</v>
      </c>
      <c r="C20" s="2" t="s">
        <v>70</v>
      </c>
      <c r="D20" s="2" t="s">
        <v>49</v>
      </c>
      <c r="E20" s="2" t="s">
        <v>28</v>
      </c>
      <c r="F20" s="2" t="s">
        <v>71</v>
      </c>
      <c r="G20" s="2" t="s">
        <v>15</v>
      </c>
    </row>
    <row r="21" spans="1:7">
      <c r="A21" s="2" t="s">
        <v>72</v>
      </c>
      <c r="B21" s="2" t="s">
        <v>63</v>
      </c>
      <c r="C21" s="2" t="s">
        <v>73</v>
      </c>
      <c r="D21" s="2" t="s">
        <v>49</v>
      </c>
      <c r="E21" s="2" t="s">
        <v>28</v>
      </c>
      <c r="F21" s="2" t="s">
        <v>74</v>
      </c>
      <c r="G21" s="2" t="s">
        <v>15</v>
      </c>
    </row>
    <row r="22" spans="1:7">
      <c r="A22" s="2" t="s">
        <v>75</v>
      </c>
      <c r="B22" s="2" t="s">
        <v>63</v>
      </c>
      <c r="C22" s="2" t="s">
        <v>76</v>
      </c>
      <c r="D22" s="2" t="s">
        <v>49</v>
      </c>
      <c r="E22" s="2" t="s">
        <v>28</v>
      </c>
      <c r="F22" s="2" t="s">
        <v>77</v>
      </c>
      <c r="G22" s="2" t="s">
        <v>15</v>
      </c>
    </row>
    <row r="23" spans="1:7" ht="28.5">
      <c r="A23" s="2" t="s">
        <v>78</v>
      </c>
      <c r="B23" s="2" t="s">
        <v>79</v>
      </c>
      <c r="C23" s="2" t="s">
        <v>80</v>
      </c>
      <c r="D23" s="2" t="s">
        <v>49</v>
      </c>
      <c r="E23" s="2" t="s">
        <v>28</v>
      </c>
      <c r="F23" s="2" t="s">
        <v>81</v>
      </c>
      <c r="G23" s="2" t="s">
        <v>15</v>
      </c>
    </row>
    <row r="24" spans="1:7" ht="28.5">
      <c r="A24" s="2" t="s">
        <v>82</v>
      </c>
      <c r="B24" s="2" t="s">
        <v>83</v>
      </c>
      <c r="C24" s="2" t="s">
        <v>84</v>
      </c>
      <c r="D24" s="2" t="s">
        <v>85</v>
      </c>
      <c r="E24" s="2" t="s">
        <v>28</v>
      </c>
      <c r="F24" s="2" t="s">
        <v>86</v>
      </c>
      <c r="G24" s="2" t="s">
        <v>15</v>
      </c>
    </row>
    <row r="25" spans="1:7" ht="15">
      <c r="A25" s="2" t="s">
        <v>87</v>
      </c>
      <c r="B25" s="2" t="s">
        <v>88</v>
      </c>
      <c r="C25" s="2" t="s">
        <v>89</v>
      </c>
      <c r="D25" s="2" t="s">
        <v>12</v>
      </c>
      <c r="E25" s="2" t="s">
        <v>13</v>
      </c>
      <c r="F25" s="2" t="s">
        <v>90</v>
      </c>
      <c r="G25" s="2" t="s">
        <v>91</v>
      </c>
    </row>
    <row r="26" spans="1:7" ht="15">
      <c r="A26" s="2" t="s">
        <v>92</v>
      </c>
      <c r="B26" s="2" t="s">
        <v>93</v>
      </c>
      <c r="C26" s="2" t="s">
        <v>94</v>
      </c>
      <c r="D26" s="2" t="s">
        <v>12</v>
      </c>
      <c r="E26" s="2" t="s">
        <v>13</v>
      </c>
      <c r="F26" s="2" t="s">
        <v>90</v>
      </c>
      <c r="G26" s="2" t="s">
        <v>91</v>
      </c>
    </row>
    <row r="27" spans="1:7">
      <c r="A27" s="2" t="s">
        <v>95</v>
      </c>
      <c r="B27" s="2" t="s">
        <v>96</v>
      </c>
      <c r="C27" s="2" t="s">
        <v>97</v>
      </c>
      <c r="D27" s="2" t="s">
        <v>49</v>
      </c>
      <c r="E27" s="2" t="s">
        <v>28</v>
      </c>
      <c r="F27" s="2" t="s">
        <v>98</v>
      </c>
      <c r="G27" s="2" t="s">
        <v>99</v>
      </c>
    </row>
    <row r="28" spans="1:7" ht="28.5">
      <c r="A28" s="2" t="s">
        <v>100</v>
      </c>
      <c r="B28" s="2" t="s">
        <v>96</v>
      </c>
      <c r="C28" s="2" t="s">
        <v>101</v>
      </c>
      <c r="D28" s="2" t="s">
        <v>49</v>
      </c>
      <c r="E28" s="2" t="s">
        <v>28</v>
      </c>
      <c r="F28" s="2" t="s">
        <v>102</v>
      </c>
      <c r="G28" s="2" t="s">
        <v>99</v>
      </c>
    </row>
    <row r="29" spans="1:7">
      <c r="A29" s="2" t="s">
        <v>103</v>
      </c>
      <c r="B29" s="2" t="s">
        <v>104</v>
      </c>
      <c r="C29" s="2" t="s">
        <v>105</v>
      </c>
      <c r="D29" s="2" t="s">
        <v>49</v>
      </c>
      <c r="E29" s="2" t="s">
        <v>28</v>
      </c>
      <c r="F29" s="2" t="s">
        <v>106</v>
      </c>
      <c r="G29" s="2" t="s">
        <v>99</v>
      </c>
    </row>
    <row r="30" spans="1:7">
      <c r="A30" s="2" t="s">
        <v>107</v>
      </c>
      <c r="B30" s="2" t="s">
        <v>108</v>
      </c>
      <c r="C30" s="2" t="s">
        <v>109</v>
      </c>
      <c r="D30" s="2" t="s">
        <v>85</v>
      </c>
      <c r="E30" s="2" t="s">
        <v>28</v>
      </c>
      <c r="F30" s="2" t="s">
        <v>110</v>
      </c>
      <c r="G30" s="2" t="s">
        <v>99</v>
      </c>
    </row>
    <row r="31" spans="1:7">
      <c r="A31" s="2" t="s">
        <v>111</v>
      </c>
      <c r="B31" s="2" t="s">
        <v>112</v>
      </c>
      <c r="C31" s="2" t="s">
        <v>113</v>
      </c>
      <c r="D31" s="2" t="s">
        <v>85</v>
      </c>
      <c r="E31" s="2" t="s">
        <v>28</v>
      </c>
      <c r="F31" s="2" t="s">
        <v>114</v>
      </c>
      <c r="G31" s="2" t="s">
        <v>112</v>
      </c>
    </row>
    <row r="32" spans="1:7">
      <c r="A32" s="2" t="s">
        <v>115</v>
      </c>
      <c r="B32" s="2" t="s">
        <v>112</v>
      </c>
      <c r="C32" s="2" t="s">
        <v>116</v>
      </c>
      <c r="D32" s="2" t="s">
        <v>85</v>
      </c>
      <c r="E32" s="2" t="s">
        <v>28</v>
      </c>
      <c r="F32" s="2" t="s">
        <v>117</v>
      </c>
      <c r="G32" s="2" t="s">
        <v>112</v>
      </c>
    </row>
    <row r="33" spans="1:7">
      <c r="A33" s="2" t="s">
        <v>118</v>
      </c>
      <c r="B33" s="2" t="s">
        <v>112</v>
      </c>
      <c r="C33" s="2" t="s">
        <v>119</v>
      </c>
      <c r="D33" s="2" t="s">
        <v>85</v>
      </c>
      <c r="E33" s="2" t="s">
        <v>28</v>
      </c>
      <c r="F33" s="2" t="s">
        <v>120</v>
      </c>
      <c r="G33" s="2" t="s">
        <v>112</v>
      </c>
    </row>
    <row r="34" spans="1:7">
      <c r="A34" s="2" t="s">
        <v>121</v>
      </c>
      <c r="B34" s="2" t="s">
        <v>112</v>
      </c>
      <c r="C34" s="2" t="s">
        <v>122</v>
      </c>
      <c r="D34" s="2" t="s">
        <v>85</v>
      </c>
      <c r="E34" s="2" t="s">
        <v>28</v>
      </c>
      <c r="F34" s="2" t="s">
        <v>123</v>
      </c>
      <c r="G34" s="2" t="s">
        <v>112</v>
      </c>
    </row>
    <row r="35" spans="1:7" ht="28.5">
      <c r="A35" s="2" t="s">
        <v>124</v>
      </c>
      <c r="B35" s="2" t="s">
        <v>125</v>
      </c>
      <c r="C35" s="2" t="s">
        <v>126</v>
      </c>
      <c r="D35" s="2" t="s">
        <v>12</v>
      </c>
      <c r="E35" s="2" t="s">
        <v>28</v>
      </c>
      <c r="F35" s="2" t="s">
        <v>127</v>
      </c>
      <c r="G35" s="2" t="s">
        <v>128</v>
      </c>
    </row>
    <row r="36" spans="1:7">
      <c r="A36" s="2" t="s">
        <v>129</v>
      </c>
      <c r="B36" s="2" t="s">
        <v>125</v>
      </c>
      <c r="C36" s="2" t="s">
        <v>130</v>
      </c>
      <c r="D36" s="2" t="s">
        <v>12</v>
      </c>
      <c r="E36" s="2" t="s">
        <v>28</v>
      </c>
      <c r="F36" s="2" t="s">
        <v>131</v>
      </c>
      <c r="G36" s="2" t="s">
        <v>128</v>
      </c>
    </row>
    <row r="37" spans="1:7">
      <c r="A37" s="2" t="s">
        <v>132</v>
      </c>
      <c r="B37" s="2" t="s">
        <v>125</v>
      </c>
      <c r="C37" s="2" t="s">
        <v>133</v>
      </c>
      <c r="D37" s="2" t="s">
        <v>12</v>
      </c>
      <c r="E37" s="2" t="s">
        <v>28</v>
      </c>
      <c r="F37" s="2" t="s">
        <v>134</v>
      </c>
      <c r="G37" s="2" t="s">
        <v>128</v>
      </c>
    </row>
    <row r="38" spans="1:7" ht="28.5">
      <c r="A38" s="2" t="s">
        <v>135</v>
      </c>
      <c r="B38" s="2" t="s">
        <v>136</v>
      </c>
      <c r="C38" s="2" t="s">
        <v>137</v>
      </c>
      <c r="D38" s="2" t="s">
        <v>12</v>
      </c>
      <c r="E38" s="2" t="s">
        <v>28</v>
      </c>
      <c r="F38" s="2" t="s">
        <v>138</v>
      </c>
      <c r="G38" s="2" t="s">
        <v>128</v>
      </c>
    </row>
    <row r="39" spans="1:7" ht="28.5">
      <c r="A39" s="2" t="s">
        <v>139</v>
      </c>
      <c r="B39" s="2" t="s">
        <v>136</v>
      </c>
      <c r="C39" s="2" t="s">
        <v>140</v>
      </c>
      <c r="D39" s="2" t="s">
        <v>12</v>
      </c>
      <c r="E39" s="2" t="s">
        <v>28</v>
      </c>
      <c r="F39" s="2" t="s">
        <v>141</v>
      </c>
      <c r="G39" s="2" t="s">
        <v>128</v>
      </c>
    </row>
    <row r="40" spans="1:7">
      <c r="A40" s="2" t="s">
        <v>142</v>
      </c>
      <c r="B40" s="2" t="s">
        <v>143</v>
      </c>
      <c r="C40" s="2" t="s">
        <v>144</v>
      </c>
      <c r="D40" s="2" t="s">
        <v>12</v>
      </c>
      <c r="E40" s="2" t="s">
        <v>28</v>
      </c>
      <c r="F40" s="2" t="s">
        <v>145</v>
      </c>
      <c r="G40" s="2" t="s">
        <v>128</v>
      </c>
    </row>
    <row r="41" spans="1:7">
      <c r="A41" s="2" t="s">
        <v>146</v>
      </c>
      <c r="B41" s="2" t="s">
        <v>147</v>
      </c>
      <c r="C41" s="2" t="s">
        <v>148</v>
      </c>
      <c r="D41" s="2" t="s">
        <v>49</v>
      </c>
      <c r="E41" s="2" t="s">
        <v>28</v>
      </c>
      <c r="F41" s="2" t="s">
        <v>149</v>
      </c>
      <c r="G41" s="2" t="s">
        <v>128</v>
      </c>
    </row>
    <row r="42" spans="1:7" ht="28.5">
      <c r="A42" s="2" t="s">
        <v>150</v>
      </c>
      <c r="B42" s="2" t="s">
        <v>151</v>
      </c>
      <c r="C42" s="2" t="s">
        <v>152</v>
      </c>
      <c r="D42" s="2" t="s">
        <v>12</v>
      </c>
      <c r="E42" s="2" t="s">
        <v>28</v>
      </c>
      <c r="F42" s="2" t="s">
        <v>153</v>
      </c>
      <c r="G42" s="2" t="s">
        <v>128</v>
      </c>
    </row>
    <row r="43" spans="1:7">
      <c r="A43" s="2" t="s">
        <v>154</v>
      </c>
      <c r="B43" s="2" t="s">
        <v>155</v>
      </c>
      <c r="C43" s="2" t="s">
        <v>156</v>
      </c>
      <c r="D43" s="2" t="s">
        <v>12</v>
      </c>
      <c r="E43" s="2" t="s">
        <v>28</v>
      </c>
      <c r="F43" s="2" t="s">
        <v>157</v>
      </c>
      <c r="G43" s="2" t="s">
        <v>128</v>
      </c>
    </row>
    <row r="44" spans="1:7" ht="28.5">
      <c r="A44" s="2" t="s">
        <v>158</v>
      </c>
      <c r="B44" s="2" t="s">
        <v>155</v>
      </c>
      <c r="C44" s="2" t="s">
        <v>159</v>
      </c>
      <c r="D44" s="2" t="s">
        <v>12</v>
      </c>
      <c r="E44" s="2" t="s">
        <v>28</v>
      </c>
      <c r="F44" s="2" t="s">
        <v>160</v>
      </c>
      <c r="G44" s="2" t="s">
        <v>128</v>
      </c>
    </row>
    <row r="45" spans="1:7" ht="28.5">
      <c r="A45" s="2" t="s">
        <v>161</v>
      </c>
      <c r="B45" s="2" t="s">
        <v>147</v>
      </c>
      <c r="C45" s="2" t="s">
        <v>162</v>
      </c>
      <c r="D45" s="2" t="s">
        <v>12</v>
      </c>
      <c r="E45" s="2" t="s">
        <v>28</v>
      </c>
      <c r="F45" s="2" t="s">
        <v>163</v>
      </c>
      <c r="G45" s="2" t="s">
        <v>147</v>
      </c>
    </row>
    <row r="46" spans="1:7" ht="28.5">
      <c r="A46" s="2" t="s">
        <v>164</v>
      </c>
      <c r="B46" s="2" t="s">
        <v>147</v>
      </c>
      <c r="C46" s="2" t="s">
        <v>165</v>
      </c>
      <c r="D46" s="2" t="s">
        <v>49</v>
      </c>
      <c r="E46" s="2" t="s">
        <v>28</v>
      </c>
      <c r="F46" s="2" t="s">
        <v>166</v>
      </c>
      <c r="G46" s="2" t="s">
        <v>147</v>
      </c>
    </row>
    <row r="47" spans="1:7">
      <c r="A47" s="2" t="s">
        <v>167</v>
      </c>
      <c r="B47" s="2" t="s">
        <v>147</v>
      </c>
      <c r="C47" s="2" t="s">
        <v>168</v>
      </c>
      <c r="D47" s="2" t="s">
        <v>49</v>
      </c>
      <c r="E47" s="2" t="s">
        <v>28</v>
      </c>
      <c r="F47" s="2" t="s">
        <v>169</v>
      </c>
      <c r="G47" s="2" t="s">
        <v>147</v>
      </c>
    </row>
    <row r="48" spans="1:7" ht="28.5">
      <c r="A48" s="2" t="s">
        <v>170</v>
      </c>
      <c r="B48" s="2" t="s">
        <v>147</v>
      </c>
      <c r="C48" s="2" t="s">
        <v>171</v>
      </c>
      <c r="D48" s="2" t="s">
        <v>49</v>
      </c>
      <c r="E48" s="2" t="s">
        <v>28</v>
      </c>
      <c r="F48" s="2" t="s">
        <v>172</v>
      </c>
      <c r="G48" s="2" t="s">
        <v>147</v>
      </c>
    </row>
    <row r="49" spans="1:7" ht="28.5">
      <c r="A49" s="2" t="s">
        <v>173</v>
      </c>
      <c r="B49" s="2" t="s">
        <v>147</v>
      </c>
      <c r="C49" s="2" t="s">
        <v>174</v>
      </c>
      <c r="D49" s="2" t="s">
        <v>49</v>
      </c>
      <c r="E49" s="2" t="s">
        <v>28</v>
      </c>
      <c r="F49" s="2" t="s">
        <v>175</v>
      </c>
      <c r="G49" s="2" t="s">
        <v>147</v>
      </c>
    </row>
    <row r="50" spans="1:7">
      <c r="A50" s="2" t="s">
        <v>176</v>
      </c>
      <c r="B50" s="2" t="s">
        <v>177</v>
      </c>
      <c r="C50" s="2" t="s">
        <v>178</v>
      </c>
      <c r="D50" s="2" t="s">
        <v>49</v>
      </c>
      <c r="E50" s="2" t="s">
        <v>28</v>
      </c>
      <c r="F50" s="2" t="s">
        <v>179</v>
      </c>
      <c r="G50" s="2" t="s">
        <v>147</v>
      </c>
    </row>
    <row r="51" spans="1:7">
      <c r="A51" s="2" t="s">
        <v>180</v>
      </c>
      <c r="B51" s="2" t="s">
        <v>181</v>
      </c>
      <c r="C51" s="2" t="s">
        <v>182</v>
      </c>
      <c r="D51" s="2" t="s">
        <v>49</v>
      </c>
      <c r="E51" s="2" t="s">
        <v>28</v>
      </c>
      <c r="F51" s="2" t="s">
        <v>183</v>
      </c>
      <c r="G51" s="2" t="s">
        <v>147</v>
      </c>
    </row>
    <row r="52" spans="1:7">
      <c r="A52" s="2" t="s">
        <v>184</v>
      </c>
      <c r="B52" s="2" t="s">
        <v>185</v>
      </c>
      <c r="C52" s="2" t="s">
        <v>186</v>
      </c>
      <c r="D52" s="2" t="s">
        <v>85</v>
      </c>
      <c r="E52" s="2" t="s">
        <v>28</v>
      </c>
      <c r="F52" s="2" t="s">
        <v>187</v>
      </c>
      <c r="G52" s="2" t="s">
        <v>147</v>
      </c>
    </row>
    <row r="53" spans="1:7" ht="28.5">
      <c r="A53" s="2" t="s">
        <v>188</v>
      </c>
      <c r="B53" s="2" t="s">
        <v>189</v>
      </c>
      <c r="C53" s="2" t="s">
        <v>190</v>
      </c>
      <c r="D53" s="2" t="s">
        <v>12</v>
      </c>
      <c r="E53" s="2" t="s">
        <v>28</v>
      </c>
      <c r="F53" s="2" t="s">
        <v>191</v>
      </c>
      <c r="G53" s="2" t="s">
        <v>192</v>
      </c>
    </row>
    <row r="54" spans="1:7" ht="28.5">
      <c r="A54" s="2" t="s">
        <v>193</v>
      </c>
      <c r="B54" s="2" t="s">
        <v>194</v>
      </c>
      <c r="C54" s="2" t="s">
        <v>195</v>
      </c>
      <c r="D54" s="2" t="s">
        <v>12</v>
      </c>
      <c r="E54" s="2" t="s">
        <v>28</v>
      </c>
      <c r="F54" s="2" t="s">
        <v>196</v>
      </c>
      <c r="G54" s="2" t="s">
        <v>192</v>
      </c>
    </row>
  </sheetData>
  <mergeCells count="2">
    <mergeCell ref="A1:G1"/>
    <mergeCell ref="A2:G2"/>
  </mergeCells>
  <conditionalFormatting sqref="E5:E54">
    <cfRule type="expression" dxfId="3" priority="1">
      <formula>E5="COMPLETADO"</formula>
    </cfRule>
    <cfRule type="expression" dxfId="2" priority="2">
      <formula>E5="PENDIENTE"</formula>
    </cfRule>
    <cfRule type="expression" dxfId="1" priority="3">
      <formula>E5="EN CURSO"</formula>
    </cfRule>
    <cfRule type="expression" dxfId="0" priority="4">
      <formula>E5="BLOQUEADO"</formula>
    </cfRule>
  </conditionalFormatting>
  <dataValidations count="2">
    <dataValidation type="list" sqref="D5:D54" xr:uid="{00000000-0002-0000-0000-000000000000}">
      <formula1>"Crítica,Alta,Media,Baja"</formula1>
    </dataValidation>
    <dataValidation type="list" sqref="E5:E54" xr:uid="{00000000-0002-0000-0000-000001000000}">
      <formula1>"COMPLETADO,EN CURSO,PENDIENTE,BLOQUEADO"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workbookViewId="0"/>
  </sheetViews>
  <sheetFormatPr baseColWidth="10" defaultColWidth="9" defaultRowHeight="14.25"/>
  <cols>
    <col min="1" max="1" width="10" customWidth="1"/>
    <col min="2" max="2" width="20" customWidth="1"/>
    <col min="3" max="3" width="58" customWidth="1"/>
    <col min="4" max="4" width="18" customWidth="1"/>
    <col min="5" max="5" width="40" customWidth="1"/>
  </cols>
  <sheetData>
    <row r="1" spans="1:5" ht="19.5">
      <c r="A1" s="3" t="s">
        <v>197</v>
      </c>
      <c r="B1" s="3"/>
      <c r="C1" s="3"/>
      <c r="D1" s="3"/>
      <c r="E1" s="3"/>
    </row>
    <row r="3" spans="1:5" ht="15">
      <c r="A3" s="1" t="s">
        <v>2</v>
      </c>
      <c r="B3" s="1" t="s">
        <v>198</v>
      </c>
      <c r="C3" s="1" t="s">
        <v>199</v>
      </c>
      <c r="D3" s="1" t="s">
        <v>6</v>
      </c>
      <c r="E3" s="1" t="s">
        <v>200</v>
      </c>
    </row>
    <row r="4" spans="1:5">
      <c r="A4" s="2" t="s">
        <v>9</v>
      </c>
      <c r="B4" s="2" t="s">
        <v>201</v>
      </c>
      <c r="C4" s="2" t="s">
        <v>202</v>
      </c>
      <c r="D4" s="2" t="s">
        <v>13</v>
      </c>
      <c r="E4" s="2" t="s">
        <v>203</v>
      </c>
    </row>
    <row r="5" spans="1:5">
      <c r="A5" s="2" t="s">
        <v>16</v>
      </c>
      <c r="B5" s="2" t="s">
        <v>204</v>
      </c>
      <c r="C5" s="2" t="s">
        <v>205</v>
      </c>
      <c r="D5" s="2" t="s">
        <v>13</v>
      </c>
      <c r="E5" s="2" t="s">
        <v>206</v>
      </c>
    </row>
    <row r="6" spans="1:5">
      <c r="A6" s="2" t="s">
        <v>19</v>
      </c>
      <c r="B6" s="2" t="s">
        <v>207</v>
      </c>
      <c r="C6" s="2" t="s">
        <v>208</v>
      </c>
      <c r="D6" s="2" t="s">
        <v>13</v>
      </c>
      <c r="E6" s="2" t="s">
        <v>209</v>
      </c>
    </row>
    <row r="7" spans="1:5">
      <c r="A7" s="2" t="s">
        <v>22</v>
      </c>
      <c r="B7" s="2" t="s">
        <v>55</v>
      </c>
      <c r="C7" s="2" t="s">
        <v>210</v>
      </c>
      <c r="D7" s="2" t="s">
        <v>13</v>
      </c>
      <c r="E7" s="2" t="s">
        <v>211</v>
      </c>
    </row>
    <row r="8" spans="1:5">
      <c r="A8" s="2" t="s">
        <v>25</v>
      </c>
      <c r="B8" s="2" t="s">
        <v>212</v>
      </c>
      <c r="C8" s="2" t="s">
        <v>213</v>
      </c>
      <c r="D8" s="2" t="s">
        <v>28</v>
      </c>
      <c r="E8" s="2" t="s">
        <v>214</v>
      </c>
    </row>
    <row r="9" spans="1:5">
      <c r="A9" s="2" t="s">
        <v>30</v>
      </c>
      <c r="B9" s="2" t="s">
        <v>215</v>
      </c>
      <c r="C9" s="2" t="s">
        <v>216</v>
      </c>
      <c r="D9" s="2" t="s">
        <v>28</v>
      </c>
      <c r="E9" s="2"/>
    </row>
    <row r="10" spans="1:5">
      <c r="A10" s="2" t="s">
        <v>34</v>
      </c>
      <c r="B10" s="2" t="s">
        <v>217</v>
      </c>
      <c r="C10" s="2" t="s">
        <v>218</v>
      </c>
      <c r="D10" s="2" t="s">
        <v>28</v>
      </c>
      <c r="E10" s="2"/>
    </row>
    <row r="11" spans="1:5">
      <c r="A11" s="2" t="s">
        <v>38</v>
      </c>
      <c r="B11" s="2" t="s">
        <v>219</v>
      </c>
      <c r="C11" s="2" t="s">
        <v>220</v>
      </c>
      <c r="D11" s="2" t="s">
        <v>28</v>
      </c>
      <c r="E11" s="2"/>
    </row>
    <row r="12" spans="1:5">
      <c r="A12" s="2" t="s">
        <v>42</v>
      </c>
      <c r="B12" s="2" t="s">
        <v>43</v>
      </c>
      <c r="C12" s="2" t="s">
        <v>221</v>
      </c>
      <c r="D12" s="2" t="s">
        <v>28</v>
      </c>
      <c r="E12" s="2"/>
    </row>
    <row r="13" spans="1:5">
      <c r="A13" s="2" t="s">
        <v>46</v>
      </c>
      <c r="B13" s="2" t="s">
        <v>222</v>
      </c>
      <c r="C13" s="2" t="s">
        <v>223</v>
      </c>
      <c r="D13" s="2" t="s">
        <v>28</v>
      </c>
      <c r="E13" s="2"/>
    </row>
    <row r="14" spans="1:5">
      <c r="A14" s="2" t="s">
        <v>51</v>
      </c>
      <c r="B14" s="2" t="s">
        <v>222</v>
      </c>
      <c r="C14" s="2" t="s">
        <v>224</v>
      </c>
      <c r="D14" s="2" t="s">
        <v>28</v>
      </c>
      <c r="E14" s="2"/>
    </row>
    <row r="15" spans="1:5">
      <c r="A15" s="2" t="s">
        <v>54</v>
      </c>
      <c r="B15" s="2" t="s">
        <v>55</v>
      </c>
      <c r="C15" s="2" t="s">
        <v>225</v>
      </c>
      <c r="D15" s="2" t="s">
        <v>28</v>
      </c>
      <c r="E15" s="2"/>
    </row>
    <row r="16" spans="1:5">
      <c r="A16" s="2" t="s">
        <v>58</v>
      </c>
      <c r="B16" s="2" t="s">
        <v>59</v>
      </c>
      <c r="C16" s="2" t="s">
        <v>226</v>
      </c>
      <c r="D16" s="2" t="s">
        <v>28</v>
      </c>
      <c r="E16" s="2"/>
    </row>
    <row r="17" spans="1:5">
      <c r="A17" s="2" t="s">
        <v>62</v>
      </c>
      <c r="B17" s="2" t="s">
        <v>227</v>
      </c>
      <c r="C17" s="2" t="s">
        <v>228</v>
      </c>
      <c r="D17" s="2" t="s">
        <v>28</v>
      </c>
      <c r="E17" s="2"/>
    </row>
    <row r="18" spans="1:5">
      <c r="A18" s="2" t="s">
        <v>66</v>
      </c>
      <c r="B18" s="2" t="s">
        <v>227</v>
      </c>
      <c r="C18" s="2" t="s">
        <v>229</v>
      </c>
      <c r="D18" s="2" t="s">
        <v>28</v>
      </c>
      <c r="E18" s="2"/>
    </row>
    <row r="19" spans="1:5">
      <c r="A19" s="2" t="s">
        <v>69</v>
      </c>
      <c r="B19" s="2" t="s">
        <v>227</v>
      </c>
      <c r="C19" s="2" t="s">
        <v>230</v>
      </c>
      <c r="D19" s="2" t="s">
        <v>28</v>
      </c>
      <c r="E19" s="2"/>
    </row>
    <row r="20" spans="1:5">
      <c r="A20" s="2" t="s">
        <v>72</v>
      </c>
      <c r="B20" s="2" t="s">
        <v>227</v>
      </c>
      <c r="C20" s="2" t="s">
        <v>231</v>
      </c>
      <c r="D20" s="2" t="s">
        <v>28</v>
      </c>
      <c r="E20" s="2"/>
    </row>
    <row r="21" spans="1:5">
      <c r="A21" s="2" t="s">
        <v>75</v>
      </c>
      <c r="B21" s="2" t="s">
        <v>227</v>
      </c>
      <c r="C21" s="2" t="s">
        <v>232</v>
      </c>
      <c r="D21" s="2" t="s">
        <v>28</v>
      </c>
      <c r="E21" s="2"/>
    </row>
    <row r="22" spans="1:5">
      <c r="A22" s="2" t="s">
        <v>78</v>
      </c>
      <c r="B22" s="2" t="s">
        <v>79</v>
      </c>
      <c r="C22" s="2" t="s">
        <v>233</v>
      </c>
      <c r="D22" s="2" t="s">
        <v>28</v>
      </c>
      <c r="E22" s="2"/>
    </row>
    <row r="23" spans="1:5">
      <c r="A23" s="2" t="s">
        <v>82</v>
      </c>
      <c r="B23" s="2" t="s">
        <v>234</v>
      </c>
      <c r="C23" s="2" t="s">
        <v>235</v>
      </c>
      <c r="D23" s="2" t="s">
        <v>28</v>
      </c>
      <c r="E23" s="2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baseColWidth="10" defaultColWidth="9" defaultRowHeight="14.25"/>
  <cols>
    <col min="1" max="1" width="10" customWidth="1"/>
    <col min="2" max="2" width="20" customWidth="1"/>
    <col min="3" max="3" width="48" customWidth="1"/>
    <col min="4" max="4" width="50" customWidth="1"/>
    <col min="5" max="5" width="18" customWidth="1"/>
  </cols>
  <sheetData>
    <row r="1" spans="1:5" ht="19.5">
      <c r="A1" s="3" t="s">
        <v>236</v>
      </c>
      <c r="B1" s="3"/>
      <c r="C1" s="3"/>
      <c r="D1" s="3"/>
      <c r="E1" s="3"/>
    </row>
    <row r="3" spans="1:5" ht="15">
      <c r="A3" s="1" t="s">
        <v>2</v>
      </c>
      <c r="B3" s="1" t="s">
        <v>198</v>
      </c>
      <c r="C3" s="1" t="s">
        <v>4</v>
      </c>
      <c r="D3" s="1" t="s">
        <v>237</v>
      </c>
      <c r="E3" s="1" t="s">
        <v>6</v>
      </c>
    </row>
    <row r="4" spans="1:5">
      <c r="A4" s="2" t="s">
        <v>124</v>
      </c>
      <c r="B4" s="2" t="s">
        <v>79</v>
      </c>
      <c r="C4" s="2" t="s">
        <v>238</v>
      </c>
      <c r="D4" s="2" t="s">
        <v>239</v>
      </c>
      <c r="E4" s="2" t="s">
        <v>28</v>
      </c>
    </row>
    <row r="5" spans="1:5">
      <c r="A5" s="2" t="s">
        <v>129</v>
      </c>
      <c r="B5" s="2" t="s">
        <v>240</v>
      </c>
      <c r="C5" s="2" t="s">
        <v>241</v>
      </c>
      <c r="D5" s="2" t="s">
        <v>242</v>
      </c>
      <c r="E5" s="2" t="s">
        <v>28</v>
      </c>
    </row>
    <row r="6" spans="1:5">
      <c r="A6" s="2" t="s">
        <v>132</v>
      </c>
      <c r="B6" s="2" t="s">
        <v>243</v>
      </c>
      <c r="C6" s="2" t="s">
        <v>244</v>
      </c>
      <c r="D6" s="2" t="s">
        <v>245</v>
      </c>
      <c r="E6" s="2" t="s">
        <v>28</v>
      </c>
    </row>
    <row r="7" spans="1:5">
      <c r="A7" s="2" t="s">
        <v>135</v>
      </c>
      <c r="B7" s="2" t="s">
        <v>246</v>
      </c>
      <c r="C7" s="2" t="s">
        <v>247</v>
      </c>
      <c r="D7" s="2" t="s">
        <v>248</v>
      </c>
      <c r="E7" s="2" t="s">
        <v>28</v>
      </c>
    </row>
    <row r="8" spans="1:5">
      <c r="A8" s="2" t="s">
        <v>139</v>
      </c>
      <c r="B8" s="2" t="s">
        <v>249</v>
      </c>
      <c r="C8" s="2" t="s">
        <v>250</v>
      </c>
      <c r="D8" s="2" t="s">
        <v>251</v>
      </c>
      <c r="E8" s="2" t="s">
        <v>28</v>
      </c>
    </row>
    <row r="9" spans="1:5">
      <c r="A9" s="2" t="s">
        <v>142</v>
      </c>
      <c r="B9" s="2" t="s">
        <v>143</v>
      </c>
      <c r="C9" s="2" t="s">
        <v>252</v>
      </c>
      <c r="D9" s="2" t="s">
        <v>253</v>
      </c>
      <c r="E9" s="2" t="s">
        <v>28</v>
      </c>
    </row>
    <row r="10" spans="1:5">
      <c r="A10" s="2" t="s">
        <v>146</v>
      </c>
      <c r="B10" s="2" t="s">
        <v>254</v>
      </c>
      <c r="C10" s="2" t="s">
        <v>255</v>
      </c>
      <c r="D10" s="2" t="s">
        <v>256</v>
      </c>
      <c r="E10" s="2" t="s">
        <v>28</v>
      </c>
    </row>
    <row r="11" spans="1:5">
      <c r="A11" s="2" t="s">
        <v>150</v>
      </c>
      <c r="B11" s="2" t="s">
        <v>257</v>
      </c>
      <c r="C11" s="2" t="s">
        <v>258</v>
      </c>
      <c r="D11" s="2" t="s">
        <v>259</v>
      </c>
      <c r="E11" s="2" t="s">
        <v>28</v>
      </c>
    </row>
    <row r="12" spans="1:5">
      <c r="A12" s="2" t="s">
        <v>154</v>
      </c>
      <c r="B12" s="2" t="s">
        <v>260</v>
      </c>
      <c r="C12" s="2" t="s">
        <v>261</v>
      </c>
      <c r="D12" s="2" t="s">
        <v>262</v>
      </c>
      <c r="E12" s="2" t="s">
        <v>28</v>
      </c>
    </row>
    <row r="13" spans="1:5">
      <c r="A13" s="2" t="s">
        <v>158</v>
      </c>
      <c r="B13" s="2" t="s">
        <v>263</v>
      </c>
      <c r="C13" s="2" t="s">
        <v>264</v>
      </c>
      <c r="D13" s="2" t="s">
        <v>265</v>
      </c>
      <c r="E13" s="2" t="s">
        <v>28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7"/>
  <sheetViews>
    <sheetView workbookViewId="0"/>
  </sheetViews>
  <sheetFormatPr baseColWidth="10" defaultColWidth="9" defaultRowHeight="14.25"/>
  <cols>
    <col min="1" max="1" width="28" customWidth="1"/>
    <col min="2" max="2" width="24" customWidth="1"/>
    <col min="3" max="3" width="30" customWidth="1"/>
    <col min="4" max="4" width="58" customWidth="1"/>
  </cols>
  <sheetData>
    <row r="1" spans="1:4" ht="19.5">
      <c r="A1" s="3" t="s">
        <v>266</v>
      </c>
      <c r="B1" s="3"/>
      <c r="C1" s="3"/>
      <c r="D1" s="3"/>
    </row>
    <row r="3" spans="1:4" ht="30">
      <c r="A3" s="1" t="s">
        <v>267</v>
      </c>
      <c r="B3" s="1" t="s">
        <v>268</v>
      </c>
      <c r="C3" s="1" t="s">
        <v>269</v>
      </c>
      <c r="D3" s="1" t="s">
        <v>270</v>
      </c>
    </row>
    <row r="4" spans="1:4" ht="28.5">
      <c r="A4" s="2" t="s">
        <v>271</v>
      </c>
      <c r="B4" s="2" t="s">
        <v>272</v>
      </c>
      <c r="C4" s="2" t="s">
        <v>273</v>
      </c>
      <c r="D4" s="2" t="s">
        <v>274</v>
      </c>
    </row>
    <row r="5" spans="1:4" ht="28.5">
      <c r="A5" s="2" t="s">
        <v>275</v>
      </c>
      <c r="B5" s="2" t="s">
        <v>272</v>
      </c>
      <c r="C5" s="2" t="s">
        <v>276</v>
      </c>
      <c r="D5" s="2" t="s">
        <v>277</v>
      </c>
    </row>
    <row r="6" spans="1:4" ht="28.5">
      <c r="A6" s="2" t="s">
        <v>278</v>
      </c>
      <c r="B6" s="2" t="s">
        <v>279</v>
      </c>
      <c r="C6" s="2" t="s">
        <v>164</v>
      </c>
      <c r="D6" s="2" t="s">
        <v>280</v>
      </c>
    </row>
    <row r="7" spans="1:4" ht="28.5">
      <c r="A7" s="2" t="s">
        <v>281</v>
      </c>
      <c r="B7" s="2" t="s">
        <v>279</v>
      </c>
      <c r="C7" s="2" t="s">
        <v>167</v>
      </c>
      <c r="D7" s="2" t="s">
        <v>282</v>
      </c>
    </row>
    <row r="8" spans="1:4">
      <c r="A8" s="2" t="s">
        <v>283</v>
      </c>
      <c r="B8" s="2" t="s">
        <v>284</v>
      </c>
      <c r="C8" s="2" t="s">
        <v>285</v>
      </c>
      <c r="D8" s="2" t="s">
        <v>286</v>
      </c>
    </row>
    <row r="9" spans="1:4" ht="28.5">
      <c r="A9" s="2" t="s">
        <v>287</v>
      </c>
      <c r="B9" s="2" t="s">
        <v>279</v>
      </c>
      <c r="C9" s="2" t="s">
        <v>170</v>
      </c>
      <c r="D9" s="2" t="s">
        <v>288</v>
      </c>
    </row>
    <row r="10" spans="1:4" ht="28.5">
      <c r="A10" s="2" t="s">
        <v>289</v>
      </c>
      <c r="B10" s="2" t="s">
        <v>279</v>
      </c>
      <c r="C10" s="2" t="s">
        <v>173</v>
      </c>
      <c r="D10" s="2" t="s">
        <v>290</v>
      </c>
    </row>
    <row r="11" spans="1:4" ht="28.5">
      <c r="A11" s="2" t="s">
        <v>291</v>
      </c>
      <c r="B11" s="2" t="s">
        <v>272</v>
      </c>
      <c r="C11" s="2" t="s">
        <v>273</v>
      </c>
      <c r="D11" s="2" t="s">
        <v>292</v>
      </c>
    </row>
    <row r="12" spans="1:4" ht="28.5">
      <c r="A12" s="2" t="s">
        <v>293</v>
      </c>
      <c r="B12" s="2" t="s">
        <v>272</v>
      </c>
      <c r="C12" s="2" t="s">
        <v>273</v>
      </c>
      <c r="D12" s="2" t="s">
        <v>294</v>
      </c>
    </row>
    <row r="13" spans="1:4">
      <c r="A13" s="2" t="s">
        <v>295</v>
      </c>
      <c r="B13" s="2" t="s">
        <v>296</v>
      </c>
      <c r="C13" s="2" t="s">
        <v>297</v>
      </c>
      <c r="D13" s="2" t="s">
        <v>298</v>
      </c>
    </row>
    <row r="14" spans="1:4" ht="28.5">
      <c r="A14" s="2" t="s">
        <v>299</v>
      </c>
      <c r="B14" s="2" t="s">
        <v>279</v>
      </c>
      <c r="C14" s="2" t="s">
        <v>176</v>
      </c>
      <c r="D14" s="2" t="s">
        <v>300</v>
      </c>
    </row>
    <row r="15" spans="1:4" ht="28.5">
      <c r="A15" s="2" t="s">
        <v>301</v>
      </c>
      <c r="B15" s="2" t="s">
        <v>279</v>
      </c>
      <c r="C15" s="2" t="s">
        <v>180</v>
      </c>
      <c r="D15" s="2" t="s">
        <v>302</v>
      </c>
    </row>
    <row r="16" spans="1:4" ht="28.5">
      <c r="A16" s="2" t="s">
        <v>303</v>
      </c>
      <c r="B16" s="2" t="s">
        <v>279</v>
      </c>
      <c r="C16" s="2" t="s">
        <v>184</v>
      </c>
      <c r="D16" s="2" t="s">
        <v>304</v>
      </c>
    </row>
    <row r="17" spans="1:4">
      <c r="A17" s="2" t="s">
        <v>305</v>
      </c>
      <c r="B17" s="2" t="s">
        <v>28</v>
      </c>
      <c r="C17" s="2" t="s">
        <v>306</v>
      </c>
      <c r="D17" s="2" t="s">
        <v>307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6"/>
  <sheetViews>
    <sheetView workbookViewId="0"/>
  </sheetViews>
  <sheetFormatPr baseColWidth="10" defaultColWidth="9" defaultRowHeight="14.25"/>
  <cols>
    <col min="1" max="1" width="10" customWidth="1"/>
    <col min="2" max="2" width="20" customWidth="1"/>
    <col min="3" max="3" width="65" customWidth="1"/>
    <col min="4" max="4" width="35" customWidth="1"/>
  </cols>
  <sheetData>
    <row r="1" spans="1:4" ht="19.5">
      <c r="A1" s="3" t="s">
        <v>308</v>
      </c>
      <c r="B1" s="3"/>
      <c r="C1" s="3"/>
      <c r="D1" s="3"/>
    </row>
    <row r="3" spans="1:4" ht="15">
      <c r="A3" s="1" t="s">
        <v>309</v>
      </c>
      <c r="B3" s="1" t="s">
        <v>310</v>
      </c>
      <c r="C3" s="1" t="s">
        <v>311</v>
      </c>
      <c r="D3" s="1" t="s">
        <v>312</v>
      </c>
    </row>
    <row r="4" spans="1:4" ht="28.5">
      <c r="A4" s="2" t="s">
        <v>313</v>
      </c>
      <c r="B4" s="2" t="s">
        <v>314</v>
      </c>
      <c r="C4" s="2" t="s">
        <v>315</v>
      </c>
      <c r="D4" s="2" t="s">
        <v>316</v>
      </c>
    </row>
    <row r="5" spans="1:4">
      <c r="A5" s="2" t="s">
        <v>317</v>
      </c>
      <c r="B5" s="2" t="s">
        <v>318</v>
      </c>
      <c r="C5" s="2" t="s">
        <v>319</v>
      </c>
      <c r="D5" s="2" t="s">
        <v>320</v>
      </c>
    </row>
    <row r="6" spans="1:4" ht="28.5">
      <c r="A6" s="2" t="s">
        <v>321</v>
      </c>
      <c r="B6" s="2" t="s">
        <v>322</v>
      </c>
      <c r="C6" s="2" t="s">
        <v>323</v>
      </c>
      <c r="D6" s="2" t="s">
        <v>324</v>
      </c>
    </row>
    <row r="7" spans="1:4">
      <c r="A7" s="2" t="s">
        <v>325</v>
      </c>
      <c r="B7" s="2" t="s">
        <v>326</v>
      </c>
      <c r="C7" s="2" t="s">
        <v>327</v>
      </c>
      <c r="D7" s="2" t="s">
        <v>328</v>
      </c>
    </row>
    <row r="8" spans="1:4">
      <c r="A8" s="2" t="s">
        <v>329</v>
      </c>
      <c r="B8" s="2" t="s">
        <v>330</v>
      </c>
      <c r="C8" s="2" t="s">
        <v>331</v>
      </c>
      <c r="D8" s="2" t="s">
        <v>332</v>
      </c>
    </row>
    <row r="9" spans="1:4">
      <c r="A9" s="2" t="s">
        <v>333</v>
      </c>
      <c r="B9" s="2" t="s">
        <v>207</v>
      </c>
      <c r="C9" s="2" t="s">
        <v>334</v>
      </c>
      <c r="D9" s="2" t="s">
        <v>59</v>
      </c>
    </row>
    <row r="10" spans="1:4">
      <c r="A10" s="2" t="s">
        <v>335</v>
      </c>
      <c r="B10" s="2" t="s">
        <v>35</v>
      </c>
      <c r="C10" s="2" t="s">
        <v>336</v>
      </c>
      <c r="D10" s="2" t="s">
        <v>59</v>
      </c>
    </row>
    <row r="11" spans="1:4">
      <c r="A11" s="2" t="s">
        <v>337</v>
      </c>
      <c r="B11" s="2" t="s">
        <v>47</v>
      </c>
      <c r="C11" s="2" t="s">
        <v>338</v>
      </c>
      <c r="D11" s="2" t="s">
        <v>339</v>
      </c>
    </row>
    <row r="12" spans="1:4">
      <c r="A12" s="2" t="s">
        <v>340</v>
      </c>
      <c r="B12" s="2" t="s">
        <v>341</v>
      </c>
      <c r="C12" s="2" t="s">
        <v>342</v>
      </c>
      <c r="D12" s="2" t="s">
        <v>343</v>
      </c>
    </row>
    <row r="13" spans="1:4">
      <c r="A13" s="2" t="s">
        <v>344</v>
      </c>
      <c r="B13" s="2" t="s">
        <v>128</v>
      </c>
      <c r="C13" s="2" t="s">
        <v>345</v>
      </c>
      <c r="D13" s="2" t="s">
        <v>346</v>
      </c>
    </row>
    <row r="14" spans="1:4">
      <c r="A14" s="2" t="s">
        <v>347</v>
      </c>
      <c r="B14" s="2" t="s">
        <v>348</v>
      </c>
      <c r="C14" s="2" t="s">
        <v>349</v>
      </c>
      <c r="D14" s="2" t="s">
        <v>350</v>
      </c>
    </row>
    <row r="15" spans="1:4" ht="28.5">
      <c r="A15" s="2" t="s">
        <v>351</v>
      </c>
      <c r="B15" s="2" t="s">
        <v>352</v>
      </c>
      <c r="C15" s="2" t="s">
        <v>353</v>
      </c>
      <c r="D15" s="2" t="s">
        <v>354</v>
      </c>
    </row>
    <row r="16" spans="1:4" ht="28.5">
      <c r="A16" s="2" t="s">
        <v>355</v>
      </c>
      <c r="B16" s="2" t="s">
        <v>147</v>
      </c>
      <c r="C16" s="2" t="s">
        <v>356</v>
      </c>
      <c r="D16" s="2" t="s">
        <v>357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workbookViewId="0"/>
  </sheetViews>
  <sheetFormatPr baseColWidth="10" defaultColWidth="9" defaultRowHeight="14.25"/>
  <cols>
    <col min="1" max="2" width="45" customWidth="1"/>
    <col min="3" max="3" width="55" customWidth="1"/>
    <col min="4" max="4" width="40" customWidth="1"/>
  </cols>
  <sheetData>
    <row r="1" spans="1:4" ht="19.5">
      <c r="A1" s="3" t="s">
        <v>358</v>
      </c>
      <c r="B1" s="3"/>
      <c r="C1" s="3"/>
      <c r="D1" s="3"/>
    </row>
    <row r="3" spans="1:4" ht="15">
      <c r="A3" s="1" t="s">
        <v>359</v>
      </c>
      <c r="B3" s="1" t="s">
        <v>360</v>
      </c>
      <c r="C3" s="1" t="s">
        <v>361</v>
      </c>
      <c r="D3" s="1" t="s">
        <v>311</v>
      </c>
    </row>
    <row r="4" spans="1:4">
      <c r="A4" s="2" t="s">
        <v>362</v>
      </c>
      <c r="B4" s="2" t="s">
        <v>363</v>
      </c>
      <c r="C4" s="2" t="s">
        <v>364</v>
      </c>
      <c r="D4" s="2" t="s">
        <v>365</v>
      </c>
    </row>
    <row r="5" spans="1:4" ht="28.5">
      <c r="A5" s="2" t="s">
        <v>366</v>
      </c>
      <c r="B5" s="2" t="s">
        <v>367</v>
      </c>
      <c r="C5" s="2" t="s">
        <v>368</v>
      </c>
      <c r="D5" s="2" t="s">
        <v>369</v>
      </c>
    </row>
    <row r="6" spans="1:4" ht="28.5">
      <c r="A6" s="2" t="s">
        <v>370</v>
      </c>
      <c r="B6" s="2" t="s">
        <v>371</v>
      </c>
      <c r="C6" s="2" t="s">
        <v>372</v>
      </c>
      <c r="D6" s="2" t="s">
        <v>373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workbookViewId="0"/>
  </sheetViews>
  <sheetFormatPr baseColWidth="10" defaultColWidth="9" defaultRowHeight="14.25"/>
  <cols>
    <col min="1" max="1" width="24" customWidth="1"/>
    <col min="2" max="2" width="20" customWidth="1"/>
    <col min="4" max="4" width="12" customWidth="1"/>
    <col min="5" max="5" width="38" customWidth="1"/>
    <col min="6" max="6" width="28" customWidth="1"/>
  </cols>
  <sheetData>
    <row r="1" spans="1:6" ht="19.5">
      <c r="A1" s="3" t="s">
        <v>374</v>
      </c>
      <c r="B1" s="3"/>
      <c r="C1" s="3"/>
      <c r="D1" s="3"/>
      <c r="E1" s="3"/>
      <c r="F1" s="3"/>
    </row>
    <row r="3" spans="1:6" ht="15">
      <c r="A3" s="1" t="s">
        <v>375</v>
      </c>
      <c r="B3" s="1" t="s">
        <v>376</v>
      </c>
      <c r="D3" s="1" t="s">
        <v>314</v>
      </c>
      <c r="E3" s="1" t="s">
        <v>377</v>
      </c>
      <c r="F3" s="1" t="s">
        <v>6</v>
      </c>
    </row>
    <row r="4" spans="1:6">
      <c r="A4" t="s">
        <v>378</v>
      </c>
      <c r="B4">
        <f>COUNTA('Cronograma Maestro'!A5:A54)</f>
        <v>50</v>
      </c>
      <c r="D4">
        <v>1</v>
      </c>
      <c r="E4" t="s">
        <v>379</v>
      </c>
      <c r="F4" t="s">
        <v>380</v>
      </c>
    </row>
    <row r="5" spans="1:6">
      <c r="A5" t="s">
        <v>381</v>
      </c>
      <c r="B5">
        <f>COUNTIF('Cronograma Maestro'!E5:E54,"COMPLETADO")</f>
        <v>6</v>
      </c>
      <c r="D5">
        <v>2</v>
      </c>
      <c r="E5" t="s">
        <v>382</v>
      </c>
      <c r="F5" t="s">
        <v>383</v>
      </c>
    </row>
    <row r="6" spans="1:6">
      <c r="A6" t="s">
        <v>384</v>
      </c>
      <c r="B6">
        <f>COUNTIF('Cronograma Maestro'!E5:E54,"PENDIENTE")</f>
        <v>44</v>
      </c>
      <c r="D6">
        <v>3</v>
      </c>
      <c r="E6" t="s">
        <v>385</v>
      </c>
      <c r="F6" t="s">
        <v>28</v>
      </c>
    </row>
    <row r="7" spans="1:6">
      <c r="A7" t="s">
        <v>386</v>
      </c>
      <c r="B7">
        <f>COUNTIF('Portal Detalle'!D4:D23,"COMPLETADO")</f>
        <v>4</v>
      </c>
      <c r="D7">
        <v>4</v>
      </c>
      <c r="E7" t="s">
        <v>387</v>
      </c>
      <c r="F7" t="s">
        <v>388</v>
      </c>
    </row>
    <row r="8" spans="1:6">
      <c r="A8" t="s">
        <v>389</v>
      </c>
      <c r="B8" t="s">
        <v>25</v>
      </c>
      <c r="D8">
        <v>5</v>
      </c>
      <c r="E8" t="s">
        <v>390</v>
      </c>
      <c r="F8" t="s">
        <v>28</v>
      </c>
    </row>
  </sheetData>
  <mergeCells count="1">
    <mergeCell ref="A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Cronograma Maestro</vt:lpstr>
      <vt:lpstr>Portal Detalle</vt:lpstr>
      <vt:lpstr>Migración Completa</vt:lpstr>
      <vt:lpstr>Fidelización Pendiente</vt:lpstr>
      <vt:lpstr>Decisiones</vt:lpstr>
      <vt:lpstr>Reconciliación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2026-08-28T15:16:22Z</dcterms:modified>
</cp:coreProperties>
</file>