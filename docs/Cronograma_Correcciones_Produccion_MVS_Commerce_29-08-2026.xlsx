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9e0e3b31c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ba42d9adabf46b5"/>
    <x:sheet xmlns:r="http://schemas.openxmlformats.org/officeDocument/2006/relationships" name="Cronograma" sheetId="2" r:id="Rd472a4889a9342e9"/>
    <x:sheet xmlns:r="http://schemas.openxmlformats.org/officeDocument/2006/relationships" name="Cola Producción" sheetId="3" r:id="R2dc5e3eea6e94ee2"/>
    <x:sheet xmlns:r="http://schemas.openxmlformats.org/officeDocument/2006/relationships" name="Verificaciones" sheetId="4" r:id="Ree97621beb7d4a6d"/>
    <x:sheet xmlns:r="http://schemas.openxmlformats.org/officeDocument/2006/relationships" name="Decisiones" sheetId="5" r:id="Rbe2726e25553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"/>
    <x:numFmt numFmtId="202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10"/>
      <x:color rgb="FF172033"/>
      <x:name val="Aptos"/>
    </x:font>
    <x:font>
      <x:sz val="10"/>
      <x:color rgb="FF172033"/>
      <x:name val="Aptos"/>
    </x:font>
    <x:font>
      <x:i/>
      <x:sz val="10"/>
      <x:color rgb="FF172033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C76A00"/>
      <x:name val="Aptos"/>
    </x:font>
    <x:font>
      <x:b/>
      <x:sz val="10"/>
      <x:color rgb="FF17365D"/>
      <x:name val="Aptos"/>
    </x:font>
    <x:font>
      <x:b/>
      <x:sz val="10"/>
      <x:color rgb="FF1B5E2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1739"/>
      </x:patternFill>
    </x:fill>
    <x:fill>
      <x:patternFill patternType="solid">
        <x:fgColor rgb="FFE8EEF9"/>
      </x:patternFill>
    </x:fill>
    <x:fill>
      <x:patternFill patternType="solid">
        <x:fgColor rgb="FFF3F4F6"/>
      </x:patternFill>
    </x:fill>
    <x:fill>
      <x:patternFill patternType="solid">
        <x:fgColor rgb="FFFFF3D6"/>
      </x:patternFill>
    </x:fill>
  </x:fills>
  <x:borders count="25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6C453"/>
      </x:left>
      <x:top style="thin">
        <x:color rgb="FFF6C453"/>
      </x:top>
    </x:border>
    <x:border>
      <x:right style="thin">
        <x:color rgb="FFF6C453"/>
      </x:right>
      <x:top style="thin">
        <x:color rgb="FFF6C453"/>
      </x:top>
    </x:border>
    <x:border>
      <x:left style="thin">
        <x:color rgb="FFF6C453"/>
      </x:left>
    </x:border>
    <x:border>
      <x:right style="thin">
        <x:color rgb="FFF6C453"/>
      </x:right>
    </x:border>
    <x:border>
      <x:left style="thin">
        <x:color rgb="FFF6C453"/>
      </x:left>
      <x:bottom style="thin">
        <x:color rgb="FFF6C453"/>
      </x:bottom>
    </x:border>
    <x:border>
      <x:right style="thin">
        <x:color rgb="FFF6C453"/>
      </x:right>
      <x:bottom style="thin">
        <x:color rgb="FFF6C453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</x:border>
    <x:border>
      <x:bottom/>
    </x:border>
    <x:border>
      <x:right style="thin">
        <x:color rgb="FFE2E8F0"/>
      </x:right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200" fontId="0" fillId="4" borderId="6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201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201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/>
    <x:xf numFmtId="202" fontId="0" fillId="0" borderId="20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201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4" borderId="5" xfId="0" applyNumberFormat="1" applyFont="1" applyFill="1" applyBorder="1"/>
    <x:xf numFmtId="200" fontId="5" fillId="4" borderId="6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4" fillId="2" borderId="13" xfId="0" applyNumberFormat="1" applyFont="1" applyFill="1" applyBorder="1" applyAlignment="1">
      <x:alignment vertical="center" wrapText="1"/>
    </x:xf>
    <x:xf numFmtId="0" fontId="4" fillId="2" borderId="14" xfId="0" applyNumberFormat="1" applyFont="1" applyFill="1" applyBorder="1" applyAlignment="1">
      <x:alignment vertical="center" wrapText="1"/>
    </x:xf>
    <x:xf numFmtId="0" fontId="4" fillId="2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7" xfId="0" applyNumberFormat="1" applyFont="1" applyFill="1" applyBorder="1" applyAlignment="1">
      <x:alignment wrapText="1"/>
    </x:xf>
    <x:xf numFmtId="201" fontId="5" fillId="0" borderId="17" xfId="0" applyNumberFormat="1" applyFont="1" applyFill="1" applyBorder="1"/>
    <x:xf numFmtId="202" fontId="5" fillId="0" borderId="17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0" xfId="0" applyNumberFormat="1" applyFont="1" applyFill="1" applyBorder="1" applyAlignment="1">
      <x:alignment wrapText="1"/>
    </x:xf>
    <x:xf numFmtId="201" fontId="5" fillId="0" borderId="20" xfId="0" applyNumberFormat="1" applyFont="1" applyFill="1" applyBorder="1"/>
    <x:xf numFmtId="202" fontId="5" fillId="0" borderId="20" xfId="0" applyNumberFormat="1" applyFont="1" applyFill="1" applyBorder="1"/>
    <x:xf numFmtId="0" fontId="5" fillId="0" borderId="2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8" fillId="2" borderId="15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201" fontId="5" fillId="0" borderId="17" xfId="0" applyNumberFormat="1" applyFont="1" applyFill="1" applyBorder="1" applyAlignment="1">
      <x:alignment wrapText="1"/>
    </x:xf>
    <x:xf numFmtId="202" fontId="5" fillId="0" borderId="17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201" fontId="5" fillId="0" borderId="20" xfId="0" applyNumberFormat="1" applyFont="1" applyFill="1" applyBorder="1" applyAlignment="1">
      <x:alignment wrapText="1"/>
    </x:xf>
    <x:xf numFmtId="202" fontId="5" fillId="0" borderId="20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201" fontId="5" fillId="0" borderId="17" xfId="0" applyNumberFormat="1" applyFont="1" applyFill="1" applyBorder="1" applyAlignment="1">
      <x:alignment vertical="top" wrapText="1"/>
    </x:xf>
    <x:xf numFmtId="202" fontId="5" fillId="0" borderId="17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201" fontId="5" fillId="0" borderId="20" xfId="0" applyNumberFormat="1" applyFont="1" applyFill="1" applyBorder="1" applyAlignment="1">
      <x:alignment vertical="top" wrapText="1"/>
    </x:xf>
    <x:xf numFmtId="202" fontId="5" fillId="0" borderId="20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24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10" fillId="0" xfId="0" applyNumberFormat="1" applyFont="1" applyFill="1" applyBorder="0" applyAlignment="1">
      <x:alignment vertical="top" wrapText="1"/>
    </x:xf>
    <x:xf numFmtId="0" fontId="10" fillId="0" borderId="23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201" fontId="5" fillId="0" xfId="0" applyNumberFormat="1" applyFont="1" applyFill="1" applyBorder="0" applyAlignment="1">
      <x:alignment vertical="top" wrapText="1"/>
    </x:xf>
    <x:xf numFmtId="201" fontId="5" fillId="0" borderId="23" xfId="0" applyNumberFormat="1" applyFont="1" applyFill="1" applyBorder="1" applyAlignment="1">
      <x:alignment vertical="top" wrapText="1"/>
    </x:xf>
    <x:xf numFmtId="202" fontId="5" fillId="0" xfId="0" applyNumberFormat="1" applyFont="1" applyFill="1" applyBorder="0" applyAlignment="1">
      <x:alignment vertical="top" wrapText="1"/>
    </x:xf>
    <x:xf numFmtId="202" fontId="5" fillId="0" borderId="23" xfId="0" applyNumberFormat="1" applyFont="1" applyFill="1" applyBorder="1" applyAlignment="1">
      <x:alignment vertical="top" wrapText="1"/>
    </x:xf>
    <x:xf numFmtId="0" fontId="11" fillId="0" xfId="0" applyNumberFormat="1" applyFont="1" applyFill="1" applyBorder="0" applyAlignment="1">
      <x:alignment vertical="top" wrapText="1"/>
    </x:xf>
    <x:xf numFmtId="0" fontId="11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FF3D6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9fa941c1540d6" /><Relationship Type="http://schemas.openxmlformats.org/officeDocument/2006/relationships/theme" Target="/xl/theme/theme1.xml" Id="Ra4ada9b809894186" /><Relationship Type="http://schemas.openxmlformats.org/officeDocument/2006/relationships/sharedStrings" Target="/xl/sharedStrings.xml" Id="Rf1d7873b3a584069" /><Relationship Type="http://schemas.openxmlformats.org/officeDocument/2006/relationships/worksheet" Target="/xl/worksheets/sheet1.xml" Id="R7ba42d9adabf46b5" /><Relationship Type="http://schemas.openxmlformats.org/officeDocument/2006/relationships/worksheet" Target="/xl/worksheets/sheet2.xml" Id="Rd472a4889a9342e9" /><Relationship Type="http://schemas.openxmlformats.org/officeDocument/2006/relationships/worksheet" Target="/xl/worksheets/sheet3.xml" Id="R2dc5e3eea6e94ee2" /><Relationship Type="http://schemas.openxmlformats.org/officeDocument/2006/relationships/worksheet" Target="/xl/worksheets/sheet4.xml" Id="Ree97621beb7d4a6d" /><Relationship Type="http://schemas.openxmlformats.org/officeDocument/2006/relationships/worksheet" Target="/xl/worksheets/sheet5.xml" Id="Rbe2726e2555347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9fbb5c88f142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Carga estimada por fase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Días estimados</c:v>
          </c:tx>
          <c:cat>
            <c:strRef>
              <c:f>'Resumen'!$A$14:$A$18</c:f>
              <c:strCache>
                <c:ptCount val="0"/>
              </c:strCache>
            </c:strRef>
          </c:cat>
          <c:val>
            <c:numRef>
              <c:f>'Resumen'!$B$14:$B$18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fbb5c88f142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88a8665e984e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2" hidden="0" customWidth="1"/>
    <x:col min="4" max="4" width="24" hidden="0" customWidth="1"/>
    <x:col min="5" max="5" width="48" hidden="0" customWidth="1"/>
    <x:col min="6" max="6" width="3" hidden="0" customWidth="1"/>
    <x:col min="7" max="7" width="18" hidden="0" customWidth="1"/>
    <x:col min="8" max="8" width="18" hidden="0" customWidth="1"/>
  </x:cols>
  <x:sheetData>
    <x:row r="1" ht="34" customHeight="1">
      <x:c r="A1" s="90" t="str">
        <x:v>Cronograma de Correcciones y Producción · MVS Commerce</x:v>
      </x:c>
      <x:c r="B1" s="91"/>
      <x:c r="C1" s="91"/>
      <x:c r="D1" s="91"/>
      <x:c r="E1" s="91"/>
      <x:c r="F1" s="91"/>
      <x:c r="G1" s="91"/>
      <x:c r="H1" s="91"/>
    </x:row>
    <x:row r="2" ht="30" customHeight="1">
      <x:c r="A2" s="57" t="str">
        <x:v>Cronograma maestro · versión 29-08-2026 · fechas estimadas sujetas a validación</x:v>
      </x:c>
      <x:c r="B2" s="56"/>
      <x:c r="C2" s="56"/>
      <x:c r="D2" s="56"/>
      <x:c r="E2" s="56"/>
      <x:c r="F2" s="56"/>
      <x:c r="G2" s="56"/>
      <x:c r="H2" s="56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28" customHeight="1">
      <x:c r="A4" s="92" t="str">
        <x:v>Indicador</x:v>
      </x:c>
      <x:c r="B4" s="92" t="str">
        <x:v>Valor</x:v>
      </x:c>
      <x:c r="C4" s="92" t="str"/>
      <x:c r="D4" s="92" t="str">
        <x:v>Indicador</x:v>
      </x:c>
      <x:c r="E4" s="92" t="str">
        <x:v>Valor</x:v>
      </x:c>
      <x:c r="F4" s="92" t="str"/>
      <x:c r="G4" s="92" t="str">
        <x:v>Fecha base</x:v>
      </x:c>
      <x:c r="H4" s="92" t="str">
        <x:v>29/08/2026</x:v>
      </x:c>
    </x:row>
    <x:row r="5">
      <x:c r="A5" s="59" t="str">
        <x:v>Tareas totales</x:v>
      </x:c>
      <x:c r="B5" s="60" t="n">
        <x:f>COUNTA('Cronograma'!$A$2:$A$60)</x:f>
        <x:v>29</x:v>
      </x:c>
      <x:c r="C5" s="56"/>
      <x:c r="D5" s="61" t="str">
        <x:v>Prioridad crítica</x:v>
      </x:c>
      <x:c r="E5" s="62" t="n">
        <x:f>COUNTIF('Cronograma'!$E$2:$E$60,"Crítica")</x:f>
        <x:v>18</x:v>
      </x:c>
      <x:c r="F5" s="56"/>
      <x:c r="G5" s="56"/>
      <x:c r="H5" s="56"/>
    </x:row>
    <x:row r="6">
      <x:c r="A6" s="63" t="str">
        <x:v>Completadas</x:v>
      </x:c>
      <x:c r="B6" s="64" t="n">
        <x:f>COUNTIF('Cronograma'!$F$2:$F$60,"Completado")</x:f>
        <x:v>0</x:v>
      </x:c>
      <x:c r="C6" s="56"/>
      <x:c r="D6" s="65" t="str">
        <x:v>Días estimados</x:v>
      </x:c>
      <x:c r="E6" s="66" t="n">
        <x:f>SUM('Cronograma'!$I$2:$I$60)</x:f>
        <x:v>80</x:v>
      </x:c>
      <x:c r="F6" s="56"/>
      <x:c r="G6" s="56"/>
      <x:c r="H6" s="56"/>
    </x:row>
    <x:row r="7">
      <x:c r="A7" s="63" t="str">
        <x:v>En progreso</x:v>
      </x:c>
      <x:c r="B7" s="64" t="n">
        <x:f>COUNTIF('Cronograma'!$F$2:$F$60,"En progreso")</x:f>
        <x:v>3</x:v>
      </x:c>
      <x:c r="C7" s="56"/>
      <x:c r="D7" s="65" t="str">
        <x:v>Inicio previsto</x:v>
      </x:c>
      <x:c r="E7" s="67" t="n">
        <x:f>MIN('Cronograma'!$G$2:$G$60)</x:f>
        <x:v>46265</x:v>
      </x:c>
      <x:c r="F7" s="56"/>
      <x:c r="G7" s="56"/>
      <x:c r="H7" s="56"/>
    </x:row>
    <x:row r="8">
      <x:c r="A8" s="63" t="str">
        <x:v>Pendientes</x:v>
      </x:c>
      <x:c r="B8" s="64" t="n">
        <x:f>COUNTIF('Cronograma'!$F$2:$F$60,"Pendiente")</x:f>
        <x:v>26</x:v>
      </x:c>
      <x:c r="C8" s="56"/>
      <x:c r="D8" s="65" t="str">
        <x:v>Fin previsto</x:v>
      </x:c>
      <x:c r="E8" s="67" t="n">
        <x:f>MAX('Cronograma'!$H$2:$H$60)</x:f>
        <x:v>46358</x:v>
      </x:c>
      <x:c r="F8" s="56"/>
      <x:c r="G8" s="56"/>
      <x:c r="H8" s="56"/>
    </x:row>
    <x:row r="9">
      <x:c r="A9" s="63" t="str">
        <x:v>Bloqueadas</x:v>
      </x:c>
      <x:c r="B9" s="64" t="n">
        <x:f>COUNTIF('Cronograma'!$F$2:$F$60,"Bloqueado")</x:f>
        <x:v>0</x:v>
      </x:c>
      <x:c r="C9" s="56"/>
      <x:c r="D9" s="68" t="str">
        <x:v>Ruta portal MYM</x:v>
      </x:c>
      <x:c r="E9" s="69" t="str">
        <x:v>https://app.mvscommerce.com/portal-clientes/1/ingresar</x:v>
      </x:c>
      <x:c r="F9" s="56"/>
      <x:c r="G9" s="56"/>
      <x:c r="H9" s="56"/>
    </x:row>
    <x:row r="10">
      <x:c r="A10" s="70" t="str">
        <x:v>Avance general</x:v>
      </x:c>
      <x:c r="B10" s="71" t="n">
        <x:f>IFERROR(B6/B5,0)</x:f>
        <x:v>0</x:v>
      </x:c>
      <x:c r="C10" s="56"/>
      <x:c r="D10" s="56"/>
      <x:c r="E10" s="56"/>
      <x:c r="F10" s="56"/>
      <x:c r="G10" s="56"/>
      <x:c r="H10" s="56"/>
    </x:row>
    <x:row r="11">
      <x:c r="A11" s="56"/>
      <x:c r="B11" s="56"/>
      <x:c r="C11" s="56"/>
      <x:c r="D11" s="56"/>
      <x:c r="E11" s="56"/>
      <x:c r="F11" s="56"/>
      <x:c r="G11" s="56"/>
      <x:c r="H11" s="56"/>
    </x:row>
    <x:row r="12">
      <x:c r="A12" s="56"/>
      <x:c r="B12" s="56"/>
      <x:c r="C12" s="56"/>
      <x:c r="D12" s="56"/>
      <x:c r="E12" s="56"/>
      <x:c r="F12" s="56"/>
      <x:c r="G12" s="56"/>
      <x:c r="H12" s="56"/>
    </x:row>
    <x:row r="13" ht="28" customHeight="1">
      <x:c r="A13" s="92" t="str">
        <x:v>Fase</x:v>
      </x:c>
      <x:c r="B13" s="92" t="str">
        <x:v>Días estimados</x:v>
      </x:c>
      <x:c r="C13" s="92" t="str">
        <x:v>Objetivo</x:v>
      </x:c>
      <x:c r="D13" s="56"/>
      <x:c r="E13" s="56"/>
      <x:c r="F13" s="56"/>
      <x:c r="G13" s="56"/>
      <x:c r="H13" s="56"/>
    </x:row>
    <x:row r="14">
      <x:c r="A14" s="72" t="str">
        <x:v>1 · Base y accesos</x:v>
      </x:c>
      <x:c r="B14" s="73" t="n">
        <x:v>8</x:v>
      </x:c>
      <x:c r="C14" s="72" t="str">
        <x:v>Cerrar separación de cuentas, onboarding, licencias y sucursales.</x:v>
      </x:c>
      <x:c r="D14" s="56"/>
      <x:c r="E14" s="56"/>
      <x:c r="F14" s="56"/>
      <x:c r="G14" s="56"/>
      <x:c r="H14" s="56"/>
    </x:row>
    <x:row r="15">
      <x:c r="A15" s="72" t="str">
        <x:v>2 · Portal y fidelidad</x:v>
      </x:c>
      <x:c r="B15" s="73" t="n">
        <x:v>12</x:v>
      </x:c>
      <x:c r="C15" s="72" t="str">
        <x:v>Registro QR, acceso del cliente, incentivos y portal fácil de compartir.</x:v>
      </x:c>
      <x:c r="D15" s="56"/>
      <x:c r="E15" s="56"/>
      <x:c r="F15" s="56"/>
      <x:c r="G15" s="56"/>
      <x:c r="H15" s="56"/>
    </x:row>
    <x:row r="16">
      <x:c r="A16" s="72" t="str">
        <x:v>3 · Demo y experiencia</x:v>
      </x:c>
      <x:c r="B16" s="73" t="n">
        <x:v>7</x:v>
      </x:c>
      <x:c r="C16" s="72" t="str">
        <x:v>Sidebar responsivo, formatos claros y entorno demostrativo seguro.</x:v>
      </x:c>
      <x:c r="D16" s="56"/>
      <x:c r="E16" s="56"/>
      <x:c r="F16" s="56"/>
      <x:c r="G16" s="56"/>
      <x:c r="H16" s="56"/>
    </x:row>
    <x:row r="17">
      <x:c r="A17" s="72" t="str">
        <x:v>4 · Centro de Datos</x:v>
      </x:c>
      <x:c r="B17" s="73" t="n">
        <x:v>30</x:v>
      </x:c>
      <x:c r="C17" s="72" t="str">
        <x:v>Importaciones auditables para empresas existentes.</x:v>
      </x:c>
      <x:c r="D17" s="56"/>
      <x:c r="E17" s="56"/>
      <x:c r="F17" s="56"/>
      <x:c r="G17" s="56"/>
      <x:c r="H17" s="56"/>
    </x:row>
    <x:row r="18">
      <x:c r="A18" s="72" t="str">
        <x:v>5 · Calidad y producción</x:v>
      </x:c>
      <x:c r="B18" s="73" t="n">
        <x:v>10</x:v>
      </x:c>
      <x:c r="C18" s="72" t="str">
        <x:v>Migraciones frescas, pruebas, procesos automáticos y despliegue.</x:v>
      </x:c>
      <x:c r="D18" s="56"/>
      <x:c r="E18" s="56"/>
      <x:c r="F18" s="56"/>
      <x:c r="G18" s="56"/>
      <x:c r="H18" s="5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788a8665e984ec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18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8" hidden="0" customWidth="1"/>
    <x:col min="10" max="10" width="16" hidden="0" customWidth="1"/>
    <x:col min="11" max="11" width="44" hidden="0" customWidth="1"/>
    <x:col min="12" max="12" width="48" hidden="0" customWidth="1"/>
  </x:cols>
  <x:sheetData>
    <x:row r="1" ht="28" customHeight="1">
      <x:c r="A1" s="93" t="str">
        <x:v>ID</x:v>
      </x:c>
      <x:c r="B1" s="94" t="str">
        <x:v>Fase</x:v>
      </x:c>
      <x:c r="C1" s="94" t="str">
        <x:v>Trabajo</x:v>
      </x:c>
      <x:c r="D1" s="94" t="str">
        <x:v>Módulo</x:v>
      </x:c>
      <x:c r="E1" s="94" t="str">
        <x:v>Prioridad</x:v>
      </x:c>
      <x:c r="F1" s="94" t="str">
        <x:v>Estado</x:v>
      </x:c>
      <x:c r="G1" s="94" t="str">
        <x:v>Inicio</x:v>
      </x:c>
      <x:c r="H1" s="94" t="str">
        <x:v>Fin</x:v>
      </x:c>
      <x:c r="I1" s="94" t="str">
        <x:v>Días</x:v>
      </x:c>
      <x:c r="J1" s="94" t="str">
        <x:v>Dependencias</x:v>
      </x:c>
      <x:c r="K1" s="94" t="str">
        <x:v>Resultado esperado</x:v>
      </x:c>
      <x:c r="L1" s="95" t="str">
        <x:v>Prueba de aceptación</x:v>
      </x:c>
    </x:row>
    <x:row r="2">
      <x:c r="A2" s="77" t="str">
        <x:v>P01</x:v>
      </x:c>
      <x:c r="B2" s="78" t="str">
        <x:v>Base SaaS</x:v>
      </x:c>
      <x:c r="C2" s="79" t="str">
        <x:v>Separar administrador de plataforma y administrador tenant</x:v>
      </x:c>
      <x:c r="D2" s="79" t="str">
        <x:v>Autenticación</x:v>
      </x:c>
      <x:c r="E2" s="78" t="str">
        <x:v>Crítica</x:v>
      </x:c>
      <x:c r="F2" s="78" t="str">
        <x:v>En progreso</x:v>
      </x:c>
      <x:c r="G2" s="80" t="n">
        <x:v>46265</x:v>
      </x:c>
      <x:c r="H2" s="80" t="n">
        <x:v>46266</x:v>
      </x:c>
      <x:c r="I2" s="81" t="n">
        <x:v>2</x:v>
      </x:c>
      <x:c r="J2" s="79" t="str">
        <x:v>—</x:v>
      </x:c>
      <x:c r="K2" s="79" t="str">
        <x:v>Cuenta plataforma independiente; tenant MYM conserva POS y sucursales</x:v>
      </x:c>
      <x:c r="L2" s="82" t="str">
        <x:v>Pruebas focalizadas 0 fallos; 9 fallos históricos documentados</x:v>
      </x:c>
    </x:row>
    <x:row r="3">
      <x:c r="A3" s="77" t="str">
        <x:v>P02</x:v>
      </x:c>
      <x:c r="B3" s="78" t="str">
        <x:v>Base SaaS</x:v>
      </x:c>
      <x:c r="C3" s="79" t="str">
        <x:v>Crear cuenta segura admin@mvscommerce.com sin empresa</x:v>
      </x:c>
      <x:c r="D3" s="79" t="str">
        <x:v>Autenticación</x:v>
      </x:c>
      <x:c r="E3" s="78" t="str">
        <x:v>Crítica</x:v>
      </x:c>
      <x:c r="F3" s="78" t="str">
        <x:v>Pendiente</x:v>
      </x:c>
      <x:c r="G3" s="80" t="n">
        <x:v>46267</x:v>
      </x:c>
      <x:c r="H3" s="80" t="n">
        <x:v>46267</x:v>
      </x:c>
      <x:c r="I3" s="81" t="n">
        <x:v>1</x:v>
      </x:c>
      <x:c r="J3" s="79" t="str">
        <x:v>P01</x:v>
      </x:c>
      <x:c r="K3" s="79" t="str">
        <x:v>Comando seguro e ingreso automático a Panel Maestro</x:v>
      </x:c>
      <x:c r="L3" s="82" t="str">
        <x:v>Cuenta sin company_user/branch_user; contraseña interactiva</x:v>
      </x:c>
    </x:row>
    <x:row r="4">
      <x:c r="A4" s="77" t="str">
        <x:v>P03</x:v>
      </x:c>
      <x:c r="B4" s="78" t="str">
        <x:v>Base SaaS</x:v>
      </x:c>
      <x:c r="C4" s="79" t="str">
        <x:v>Onboarding obligatorio para cliente empresarial nuevo</x:v>
      </x:c>
      <x:c r="D4" s="79" t="str">
        <x:v>Onboarding</x:v>
      </x:c>
      <x:c r="E4" s="78" t="str">
        <x:v>Crítica</x:v>
      </x:c>
      <x:c r="F4" s="78" t="str">
        <x:v>En progreso</x:v>
      </x:c>
      <x:c r="G4" s="80" t="n">
        <x:v>46267</x:v>
      </x:c>
      <x:c r="H4" s="80" t="n">
        <x:v>46269</x:v>
      </x:c>
      <x:c r="I4" s="81" t="n">
        <x:v>3</x:v>
      </x:c>
      <x:c r="J4" s="79" t="str">
        <x:v>P01</x:v>
      </x:c>
      <x:c r="K4" s="79" t="str">
        <x:v>Empresa + primera sucursal antes del dashboard</x:v>
      </x:c>
      <x:c r="L4" s="82" t="str">
        <x:v>Usuario sin empresa no accede dashboard; empresa existente no repite</x:v>
      </x:c>
    </x:row>
    <x:row r="5">
      <x:c r="A5" s="77" t="str">
        <x:v>P04</x:v>
      </x:c>
      <x:c r="B5" s="78" t="str">
        <x:v>Base SaaS</x:v>
      </x:c>
      <x:c r="C5" s="79" t="str">
        <x:v>Menú visible de Sucursales y límite por licencia</x:v>
      </x:c>
      <x:c r="D5" s="79" t="str">
        <x:v>Sucursales</x:v>
      </x:c>
      <x:c r="E5" s="78" t="str">
        <x:v>Crítica</x:v>
      </x:c>
      <x:c r="F5" s="78" t="str">
        <x:v>En progreso</x:v>
      </x:c>
      <x:c r="G5" s="80" t="n">
        <x:v>46268</x:v>
      </x:c>
      <x:c r="H5" s="80" t="n">
        <x:v>46269</x:v>
      </x:c>
      <x:c r="I5" s="81" t="n">
        <x:v>2</x:v>
      </x:c>
      <x:c r="J5" s="79" t="str">
        <x:v>P03</x:v>
      </x:c>
      <x:c r="K5" s="79" t="str">
        <x:v>Configuración → Sucursales; respeta branch_limit</x:v>
      </x:c>
      <x:c r="L5" s="82" t="str">
        <x:v>Crear dentro del límite; bloquear al superarlo</x:v>
      </x:c>
    </x:row>
    <x:row r="6">
      <x:c r="A6" s="77" t="str">
        <x:v>P05</x:v>
      </x:c>
      <x:c r="B6" s="78" t="str">
        <x:v>Base SaaS</x:v>
      </x:c>
      <x:c r="C6" s="79" t="str">
        <x:v>Crear Liberia y asignarla al administrador MYM</x:v>
      </x:c>
      <x:c r="D6" s="79" t="str">
        <x:v>Sucursales</x:v>
      </x:c>
      <x:c r="E6" s="78" t="str">
        <x:v>Alta</x:v>
      </x:c>
      <x:c r="F6" s="78" t="str">
        <x:v>Pendiente</x:v>
      </x:c>
      <x:c r="G6" s="80" t="n">
        <x:v>46272</x:v>
      </x:c>
      <x:c r="H6" s="80" t="n">
        <x:v>46272</x:v>
      </x:c>
      <x:c r="I6" s="81" t="n">
        <x:v>1</x:v>
      </x:c>
      <x:c r="J6" s="79" t="str">
        <x:v>P04</x:v>
      </x:c>
      <x:c r="K6" s="79" t="str">
        <x:v>Selector superior muestra San Ramón y Liberia</x:v>
      </x:c>
      <x:c r="L6" s="82" t="str">
        <x:v>Ambas sucursales seleccionables; datos aislados</x:v>
      </x:c>
    </x:row>
    <x:row r="7">
      <x:c r="A7" s="77" t="str">
        <x:v>P06</x:v>
      </x:c>
      <x:c r="B7" s="78" t="str">
        <x:v>Base SaaS</x:v>
      </x:c>
      <x:c r="C7" s="79" t="str">
        <x:v>Verificar Transferencias entre sucursales en producción</x:v>
      </x:c>
      <x:c r="D7" s="79" t="str">
        <x:v>Inventario</x:v>
      </x:c>
      <x:c r="E7" s="78" t="str">
        <x:v>Alta</x:v>
      </x:c>
      <x:c r="F7" s="78" t="str">
        <x:v>Pendiente</x:v>
      </x:c>
      <x:c r="G7" s="80" t="n">
        <x:v>46272</x:v>
      </x:c>
      <x:c r="H7" s="80" t="n">
        <x:v>46273</x:v>
      </x:c>
      <x:c r="I7" s="81" t="n">
        <x:v>2</x:v>
      </x:c>
      <x:c r="J7" s="79" t="str">
        <x:v>P05</x:v>
      </x:c>
      <x:c r="K7" s="79" t="str">
        <x:v>Inventario → Transferencias visible y funcional</x:v>
      </x:c>
      <x:c r="L7" s="82" t="str">
        <x:v>Salida/entrada/Kardex; stock insuficiente bloqueado</x:v>
      </x:c>
    </x:row>
    <x:row r="8">
      <x:c r="A8" s="77" t="str">
        <x:v>P07</x:v>
      </x:c>
      <x:c r="B8" s="78" t="str">
        <x:v>Portal</x:v>
      </x:c>
      <x:c r="C8" s="79" t="str">
        <x:v>Tarjeta visible con URL, Copiar, WhatsApp, QR y Vista previa</x:v>
      </x:c>
      <x:c r="D8" s="79" t="str">
        <x:v>Portal clientes</x:v>
      </x:c>
      <x:c r="E8" s="78" t="str">
        <x:v>Crítica</x:v>
      </x:c>
      <x:c r="F8" s="78" t="str">
        <x:v>Pendiente</x:v>
      </x:c>
      <x:c r="G8" s="80" t="n">
        <x:v>46274</x:v>
      </x:c>
      <x:c r="H8" s="80" t="n">
        <x:v>46276</x:v>
      </x:c>
      <x:c r="I8" s="81" t="n">
        <x:v>3</x:v>
      </x:c>
      <x:c r="J8" s="79" t="str">
        <x:v>P03</x:v>
      </x:c>
      <x:c r="K8" s="79" t="str">
        <x:v>Cajero comparte portal sin escribir URL</x:v>
      </x:c>
      <x:c r="L8" s="82" t="str">
        <x:v>URL tenant correcta; QR descargable; vista previa segura</x:v>
      </x:c>
    </x:row>
    <x:row r="9">
      <x:c r="A9" s="77" t="str">
        <x:v>P08</x:v>
      </x:c>
      <x:c r="B9" s="78" t="str">
        <x:v>Portal</x:v>
      </x:c>
      <x:c r="C9" s="79" t="str">
        <x:v>Autorregistro del cliente mediante QR</x:v>
      </x:c>
      <x:c r="D9" s="79" t="str">
        <x:v>Portal clientes</x:v>
      </x:c>
      <x:c r="E9" s="78" t="str">
        <x:v>Crítica</x:v>
      </x:c>
      <x:c r="F9" s="78" t="str">
        <x:v>Pendiente</x:v>
      </x:c>
      <x:c r="G9" s="80" t="n">
        <x:v>46279</x:v>
      </x:c>
      <x:c r="H9" s="80" t="n">
        <x:v>46282</x:v>
      </x:c>
      <x:c r="I9" s="81" t="n">
        <x:v>4</x:v>
      </x:c>
      <x:c r="J9" s="79" t="str">
        <x:v>P07</x:v>
      </x:c>
      <x:c r="K9" s="79" t="str">
        <x:v>Cliente verificado entra automáticamente a MYM y queda disponible en POS</x:v>
      </x:c>
      <x:c r="L9" s="82" t="str">
        <x:v>Evitar duplicados; aislamiento tenant; consentimiento</x:v>
      </x:c>
    </x:row>
    <x:row r="10">
      <x:c r="A10" s="77" t="str">
        <x:v>P09</x:v>
      </x:c>
      <x:c r="B10" s="78" t="str">
        <x:v>Portal</x:v>
      </x:c>
      <x:c r="C10" s="79" t="str">
        <x:v>Crear acceso al portal al registrar cliente en POS/Clientes</x:v>
      </x:c>
      <x:c r="D10" s="79" t="str">
        <x:v>Portal clientes</x:v>
      </x:c>
      <x:c r="E10" s="78" t="str">
        <x:v>Crítica</x:v>
      </x:c>
      <x:c r="F10" s="78" t="str">
        <x:v>Pendiente</x:v>
      </x:c>
      <x:c r="G10" s="80" t="n">
        <x:v>46281</x:v>
      </x:c>
      <x:c r="H10" s="80" t="n">
        <x:v>46283</x:v>
      </x:c>
      <x:c r="I10" s="81" t="n">
        <x:v>3</x:v>
      </x:c>
      <x:c r="J10" s="79" t="str">
        <x:v>P07</x:v>
      </x:c>
      <x:c r="K10" s="79" t="str">
        <x:v>Checkbox, credencial temporal única y cambio obligatorio</x:v>
      </x:c>
      <x:c r="L10" s="82" t="str">
        <x:v>Contraseña se muestra una vez; no genérica compartida</x:v>
      </x:c>
    </x:row>
    <x:row r="11">
      <x:c r="A11" s="77" t="str">
        <x:v>P10</x:v>
      </x:c>
      <x:c r="B11" s="78" t="str">
        <x:v>Portal</x:v>
      </x:c>
      <x:c r="C11" s="79" t="str">
        <x:v>Marca del portal por empresa</x:v>
      </x:c>
      <x:c r="D11" s="79" t="str">
        <x:v>Portal clientes</x:v>
      </x:c>
      <x:c r="E11" s="78" t="str">
        <x:v>Alta</x:v>
      </x:c>
      <x:c r="F11" s="78" t="str">
        <x:v>Pendiente</x:v>
      </x:c>
      <x:c r="G11" s="80" t="n">
        <x:v>46283</x:v>
      </x:c>
      <x:c r="H11" s="80" t="n">
        <x:v>46286</x:v>
      </x:c>
      <x:c r="I11" s="81" t="n">
        <x:v>2</x:v>
      </x:c>
      <x:c r="J11" s="79" t="str">
        <x:v>P07</x:v>
      </x:c>
      <x:c r="K11" s="79" t="str">
        <x:v>Logo, nombre y colores MYM; no login de empleados</x:v>
      </x:c>
      <x:c r="L11" s="82" t="str">
        <x:v>Móvil correcto; portal público separado</x:v>
      </x:c>
    </x:row>
    <x:row r="12">
      <x:c r="A12" s="77" t="str">
        <x:v>P11</x:v>
      </x:c>
      <x:c r="B12" s="78" t="str">
        <x:v>Fidelización</x:v>
      </x:c>
      <x:c r="C12" s="79" t="str">
        <x:v>Regla de incentivo por registro</x:v>
      </x:c>
      <x:c r="D12" s="79" t="str">
        <x:v>Centro de Reglas</x:v>
      </x:c>
      <x:c r="E12" s="78" t="str">
        <x:v>Alta</x:v>
      </x:c>
      <x:c r="F12" s="78" t="str">
        <x:v>Pendiente</x:v>
      </x:c>
      <x:c r="G12" s="80" t="n">
        <x:v>46287</x:v>
      </x:c>
      <x:c r="H12" s="80" t="n">
        <x:v>46290</x:v>
      </x:c>
      <x:c r="I12" s="81" t="n">
        <x:v>4</x:v>
      </x:c>
      <x:c r="J12" s="79" t="str">
        <x:v>P08</x:v>
      </x:c>
      <x:c r="K12" s="79" t="str">
        <x:v>Puntos, descuento %, descuento fijo y vigencia</x:v>
      </x:c>
      <x:c r="L12" s="82" t="str">
        <x:v>Una vez por cliente; auditoría; validación de compra mínima</x:v>
      </x:c>
    </x:row>
    <x:row r="13">
      <x:c r="A13" s="77" t="str">
        <x:v>P12</x:v>
      </x:c>
      <x:c r="B13" s="78" t="str">
        <x:v>Fidelización</x:v>
      </x:c>
      <x:c r="C13" s="79" t="str">
        <x:v>Canje condicionado en primera compra</x:v>
      </x:c>
      <x:c r="D13" s="79" t="str">
        <x:v>Centro de Reglas</x:v>
      </x:c>
      <x:c r="E13" s="78" t="str">
        <x:v>Alta</x:v>
      </x:c>
      <x:c r="F13" s="78" t="str">
        <x:v>Pendiente</x:v>
      </x:c>
      <x:c r="G13" s="80" t="n">
        <x:v>46293</x:v>
      </x:c>
      <x:c r="H13" s="80" t="n">
        <x:v>46295</x:v>
      </x:c>
      <x:c r="I13" s="81" t="n">
        <x:v>3</x:v>
      </x:c>
      <x:c r="J13" s="79" t="str">
        <x:v>P11</x:v>
      </x:c>
      <x:c r="K13" s="79" t="str">
        <x:v>Configurar compra mínima y excepción al mínimo de canje</x:v>
      </x:c>
      <x:c r="L13" s="82" t="str">
        <x:v>Venta fallida no consume beneficio; no stacking indebido</x:v>
      </x:c>
    </x:row>
    <x:row r="14">
      <x:c r="A14" s="77" t="str">
        <x:v>P13</x:v>
      </x:c>
      <x:c r="B14" s="78" t="str">
        <x:v>Demo</x:v>
      </x:c>
      <x:c r="C14" s="79" t="str">
        <x:v>Empresa y usuario Demo administrativo</x:v>
      </x:c>
      <x:c r="D14" s="79" t="str">
        <x:v>Demo</x:v>
      </x:c>
      <x:c r="E14" s="78" t="str">
        <x:v>Media</x:v>
      </x:c>
      <x:c r="F14" s="78" t="str">
        <x:v>Pendiente</x:v>
      </x:c>
      <x:c r="G14" s="80" t="n">
        <x:v>46296</x:v>
      </x:c>
      <x:c r="H14" s="80" t="n">
        <x:v>46300</x:v>
      </x:c>
      <x:c r="I14" s="81" t="n">
        <x:v>3</x:v>
      </x:c>
      <x:c r="J14" s="79" t="str">
        <x:v>P04</x:v>
      </x:c>
      <x:c r="K14" s="79" t="str">
        <x:v>Datos ficticios, acciones peligrosas bloqueadas y reinicio</x:v>
      </x:c>
      <x:c r="L14" s="82" t="str">
        <x:v>Sin datos reales; acceso estable para demostraciones</x:v>
      </x:c>
    </x:row>
    <x:row r="15">
      <x:c r="A15" s="77" t="str">
        <x:v>P14</x:v>
      </x:c>
      <x:c r="B15" s="78" t="str">
        <x:v>Demo</x:v>
      </x:c>
      <x:c r="C15" s="79" t="str">
        <x:v>Cliente y Portal de Puntos Demo con QR</x:v>
      </x:c>
      <x:c r="D15" s="79" t="str">
        <x:v>Demo</x:v>
      </x:c>
      <x:c r="E15" s="78" t="str">
        <x:v>Media</x:v>
      </x:c>
      <x:c r="F15" s="78" t="str">
        <x:v>Pendiente</x:v>
      </x:c>
      <x:c r="G15" s="80" t="n">
        <x:v>46300</x:v>
      </x:c>
      <x:c r="H15" s="80" t="n">
        <x:v>46301</x:v>
      </x:c>
      <x:c r="I15" s="81" t="n">
        <x:v>2</x:v>
      </x:c>
      <x:c r="J15" s="79" t="str">
        <x:v>P08,P13</x:v>
      </x:c>
      <x:c r="K15" s="79" t="str">
        <x:v>Acceso de ejemplo para mostrar recorrido completo</x:v>
      </x:c>
      <x:c r="L15" s="82" t="str">
        <x:v>QR demo, puntos y compras ficticias</x:v>
      </x:c>
    </x:row>
    <x:row r="16">
      <x:c r="A16" s="77" t="str">
        <x:v>P15</x:v>
      </x:c>
      <x:c r="B16" s="78" t="str">
        <x:v>UX</x:v>
      </x:c>
      <x:c r="C16" s="79" t="str">
        <x:v>Reparar sidebar expandido/colapsado y responsive</x:v>
      </x:c>
      <x:c r="D16" s="79" t="str">
        <x:v>Interfaz</x:v>
      </x:c>
      <x:c r="E16" s="78" t="str">
        <x:v>Alta</x:v>
      </x:c>
      <x:c r="F16" s="78" t="str">
        <x:v>Pendiente</x:v>
      </x:c>
      <x:c r="G16" s="80" t="n">
        <x:v>46302</x:v>
      </x:c>
      <x:c r="H16" s="80" t="n">
        <x:v>46304</x:v>
      </x:c>
      <x:c r="I16" s="81" t="n">
        <x:v>3</x:v>
      </x:c>
      <x:c r="J16" s="79" t="str">
        <x:v>P04</x:v>
      </x:c>
      <x:c r="K16" s="79" t="str">
        <x:v>Sin recortes, scrollbar horizontal ni iconos diminutos</x:v>
      </x:c>
      <x:c r="L16" s="82" t="str">
        <x:v>Desktop/tablet/móvil; estados persistentes</x:v>
      </x:c>
    </x:row>
    <x:row r="17">
      <x:c r="A17" s="77" t="str">
        <x:v>P16</x:v>
      </x:c>
      <x:c r="B17" s="78" t="str">
        <x:v>UX</x:v>
      </x:c>
      <x:c r="C17" s="79" t="str">
        <x:v>Nombres claros para formatos 58 mm, 80 mm y Carta</x:v>
      </x:c>
      <x:c r="D17" s="79" t="str">
        <x:v>Impresión</x:v>
      </x:c>
      <x:c r="E17" s="78" t="str">
        <x:v>Media</x:v>
      </x:c>
      <x:c r="F17" s="78" t="str">
        <x:v>Pendiente</x:v>
      </x:c>
      <x:c r="G17" s="80" t="n">
        <x:v>46304</x:v>
      </x:c>
      <x:c r="H17" s="80" t="n">
        <x:v>46307</x:v>
      </x:c>
      <x:c r="I17" s="81" t="n">
        <x:v>2</x:v>
      </x:c>
      <x:c r="J17" s="79" t="str">
        <x:v>P15</x:v>
      </x:c>
      <x:c r="K17" s="79" t="str">
        <x:v>Selectores y etiquetas con nombres legibles</x:v>
      </x:c>
      <x:c r="L17" s="82" t="str">
        <x:v>Vista previa y guardado por sucursal</x:v>
      </x:c>
    </x:row>
    <x:row r="18" ht="54" customHeight="1">
      <x:c r="A18" s="122" t="str">
        <x:v>P17</x:v>
      </x:c>
      <x:c r="B18" s="126" t="str">
        <x:v>Centro de Datos</x:v>
      </x:c>
      <x:c r="C18" s="111" t="str">
        <x:v>Auditar importadores, exportadores y plantillas existentes</x:v>
      </x:c>
      <x:c r="D18" s="111" t="str">
        <x:v>Migraciones</x:v>
      </x:c>
      <x:c r="E18" s="130" t="str">
        <x:v>Crítica</x:v>
      </x:c>
      <x:c r="F18" s="130" t="str">
        <x:v>Pendiente</x:v>
      </x:c>
      <x:c r="G18" s="112" t="n">
        <x:v>46308</x:v>
      </x:c>
      <x:c r="H18" s="112" t="n">
        <x:v>46309</x:v>
      </x:c>
      <x:c r="I18" s="113" t="n">
        <x:v>2</x:v>
      </x:c>
      <x:c r="J18" s="111" t="str">
        <x:v>P01</x:v>
      </x:c>
      <x:c r="K18" s="111" t="str">
        <x:v>Mapa aprobado de formatos, rutas y brechas</x:v>
      </x:c>
      <x:c r="L18" s="111" t="str">
        <x:v>No se duplica funcionalidad existente</x:v>
      </x:c>
    </x:row>
    <x:row r="19" ht="54" customHeight="1">
      <x:c r="A19" s="122" t="str">
        <x:v>P18</x:v>
      </x:c>
      <x:c r="B19" s="126" t="str">
        <x:v>Centro de Datos</x:v>
      </x:c>
      <x:c r="C19" s="111" t="str">
        <x:v>Importar clientes desde Excel</x:v>
      </x:c>
      <x:c r="D19" s="111" t="str">
        <x:v>Clientes</x:v>
      </x:c>
      <x:c r="E19" s="130" t="str">
        <x:v>Crítica</x:v>
      </x:c>
      <x:c r="F19" s="130" t="str">
        <x:v>Pendiente</x:v>
      </x:c>
      <x:c r="G19" s="112" t="n">
        <x:v>46310</x:v>
      </x:c>
      <x:c r="H19" s="112" t="n">
        <x:v>46314</x:v>
      </x:c>
      <x:c r="I19" s="113" t="n">
        <x:v>3</x:v>
      </x:c>
      <x:c r="J19" s="111" t="str">
        <x:v>P17</x:v>
      </x:c>
      <x:c r="K19" s="111" t="str">
        <x:v>Clientes creados/actualizados y última compra disponible</x:v>
      </x:c>
      <x:c r="L19" s="111" t="str">
        <x:v>Plantilla, vista previa, duplicados y reporte</x:v>
      </x:c>
    </x:row>
    <x:row r="20" ht="54" customHeight="1">
      <x:c r="A20" s="122" t="str">
        <x:v>P19</x:v>
      </x:c>
      <x:c r="B20" s="126" t="str">
        <x:v>Centro de Datos</x:v>
      </x:c>
      <x:c r="C20" s="111" t="str">
        <x:v>Importar productos desde Excel</x:v>
      </x:c>
      <x:c r="D20" s="111" t="str">
        <x:v>Productos</x:v>
      </x:c>
      <x:c r="E20" s="130" t="str">
        <x:v>Crítica</x:v>
      </x:c>
      <x:c r="F20" s="130" t="str">
        <x:v>Pendiente</x:v>
      </x:c>
      <x:c r="G20" s="112" t="n">
        <x:v>46314</x:v>
      </x:c>
      <x:c r="H20" s="112" t="n">
        <x:v>46316</x:v>
      </x:c>
      <x:c r="I20" s="113" t="n">
        <x:v>3</x:v>
      </x:c>
      <x:c r="J20" s="111" t="str">
        <x:v>P17</x:v>
      </x:c>
      <x:c r="K20" s="111" t="str">
        <x:v>Productos, códigos, precios y catálogo migrados</x:v>
      </x:c>
      <x:c r="L20" s="111" t="str">
        <x:v>Plantilla y errores por fila; inventario opcional</x:v>
      </x:c>
    </x:row>
    <x:row r="21" ht="54" customHeight="1">
      <x:c r="A21" s="122" t="str">
        <x:v>P20</x:v>
      </x:c>
      <x:c r="B21" s="126" t="str">
        <x:v>Centro de Datos</x:v>
      </x:c>
      <x:c r="C21" s="111" t="str">
        <x:v>Importar encabezados de facturas históricas</x:v>
      </x:c>
      <x:c r="D21" s="111" t="str">
        <x:v>Ventas históricas</x:v>
      </x:c>
      <x:c r="E21" s="130" t="str">
        <x:v>Crítica</x:v>
      </x:c>
      <x:c r="F21" s="130" t="str">
        <x:v>Pendiente</x:v>
      </x:c>
      <x:c r="G21" s="112" t="n">
        <x:v>46317</x:v>
      </x:c>
      <x:c r="H21" s="112" t="n">
        <x:v>46321</x:v>
      </x:c>
      <x:c r="I21" s="113" t="n">
        <x:v>3</x:v>
      </x:c>
      <x:c r="J21" s="111" t="str">
        <x:v>P18</x:v>
      </x:c>
      <x:c r="K21" s="111" t="str">
        <x:v>Facturas con fecha, cliente, sucursal, totales y origen</x:v>
      </x:c>
      <x:c r="L21" s="111" t="str">
        <x:v>Totales y documentos conciliados</x:v>
      </x:c>
    </x:row>
    <x:row r="22" ht="54" customHeight="1">
      <x:c r="A22" s="122" t="str">
        <x:v>P21</x:v>
      </x:c>
      <x:c r="B22" s="126" t="str">
        <x:v>Centro de Datos</x:v>
      </x:c>
      <x:c r="C22" s="111" t="str">
        <x:v>Importar ventas históricas detalladas</x:v>
      </x:c>
      <x:c r="D22" s="111" t="str">
        <x:v>Ventas históricas</x:v>
      </x:c>
      <x:c r="E22" s="130" t="str">
        <x:v>Crítica</x:v>
      </x:c>
      <x:c r="F22" s="130" t="str">
        <x:v>Pendiente</x:v>
      </x:c>
      <x:c r="G22" s="112" t="n">
        <x:v>46321</x:v>
      </x:c>
      <x:c r="H22" s="112" t="n">
        <x:v>46325</x:v>
      </x:c>
      <x:c r="I22" s="113" t="n">
        <x:v>5</x:v>
      </x:c>
      <x:c r="J22" s="111" t="str">
        <x:v>P19, P20</x:v>
      </x:c>
      <x:c r="K22" s="111" t="str">
        <x:v>Historial por artículo, cliente, sucursal y fecha consultable</x:v>
      </x:c>
      <x:c r="L22" s="111" t="str">
        <x:v>Última compra y ventas por producto coinciden</x:v>
      </x:c>
    </x:row>
    <x:row r="23" ht="54" customHeight="1">
      <x:c r="A23" s="122" t="str">
        <x:v>P22</x:v>
      </x:c>
      <x:c r="B23" s="126" t="str">
        <x:v>Centro de Datos</x:v>
      </x:c>
      <x:c r="C23" s="111" t="str">
        <x:v>Importar inventario inicial y Kardex</x:v>
      </x:c>
      <x:c r="D23" s="111" t="str">
        <x:v>Inventario</x:v>
      </x:c>
      <x:c r="E23" s="130" t="str">
        <x:v>Crítica</x:v>
      </x:c>
      <x:c r="F23" s="130" t="str">
        <x:v>Pendiente</x:v>
      </x:c>
      <x:c r="G23" s="112" t="n">
        <x:v>46328</x:v>
      </x:c>
      <x:c r="H23" s="112" t="n">
        <x:v>46331</x:v>
      </x:c>
      <x:c r="I23" s="113" t="n">
        <x:v>4</x:v>
      </x:c>
      <x:c r="J23" s="111" t="str">
        <x:v>P19, P21</x:v>
      </x:c>
      <x:c r="K23" s="111" t="str">
        <x:v>Saldos y movimientos históricos por sucursal trazables</x:v>
      </x:c>
      <x:c r="L23" s="111" t="str">
        <x:v>Modo histórico no altera caja/stock salvo confirmación</x:v>
      </x:c>
    </x:row>
    <x:row r="24" ht="54" customHeight="1">
      <x:c r="A24" s="122" t="str">
        <x:v>P23</x:v>
      </x:c>
      <x:c r="B24" s="126" t="str">
        <x:v>Centro de Datos</x:v>
      </x:c>
      <x:c r="C24" s="111" t="str">
        <x:v>Importar puntos y movimientos de fidelidad</x:v>
      </x:c>
      <x:c r="D24" s="111" t="str">
        <x:v>Fidelidad</x:v>
      </x:c>
      <x:c r="E24" s="130" t="str">
        <x:v>Alta</x:v>
      </x:c>
      <x:c r="F24" s="130" t="str">
        <x:v>Pendiente</x:v>
      </x:c>
      <x:c r="G24" s="112" t="n">
        <x:v>46331</x:v>
      </x:c>
      <x:c r="H24" s="112" t="n">
        <x:v>46335</x:v>
      </x:c>
      <x:c r="I24" s="113" t="n">
        <x:v>3</x:v>
      </x:c>
      <x:c r="J24" s="111" t="str">
        <x:v>P18, P21</x:v>
      </x:c>
      <x:c r="K24" s="111" t="str">
        <x:v>Saldos, acumulaciones, canjes y ajustes migrados</x:v>
      </x:c>
      <x:c r="L24" s="111" t="str">
        <x:v>Puntos conciliados por cliente con auditoría</x:v>
      </x:c>
    </x:row>
    <x:row r="25" ht="54" customHeight="1">
      <x:c r="A25" s="122" t="str">
        <x:v>P24</x:v>
      </x:c>
      <x:c r="B25" s="126" t="str">
        <x:v>Centro de Datos</x:v>
      </x:c>
      <x:c r="C25" s="111" t="str">
        <x:v>Exportar paquete completo de migración</x:v>
      </x:c>
      <x:c r="D25" s="111" t="str">
        <x:v>Exportaciones</x:v>
      </x:c>
      <x:c r="E25" s="130" t="str">
        <x:v>Crítica</x:v>
      </x:c>
      <x:c r="F25" s="130" t="str">
        <x:v>Pendiente</x:v>
      </x:c>
      <x:c r="G25" s="112" t="n">
        <x:v>46336</x:v>
      </x:c>
      <x:c r="H25" s="112" t="n">
        <x:v>46339</x:v>
      </x:c>
      <x:c r="I25" s="113" t="n">
        <x:v>4</x:v>
      </x:c>
      <x:c r="J25" s="111" t="str">
        <x:v>P18–P23</x:v>
      </x:c>
      <x:c r="K25" s="111" t="str">
        <x:v>Excel/CSV de clientes, productos, facturas, líneas, Kardex y puntos</x:v>
      </x:c>
      <x:c r="L25" s="111" t="str">
        <x:v>Exportación reconstruye totales e historial</x:v>
      </x:c>
    </x:row>
    <x:row r="26" ht="54" customHeight="1">
      <x:c r="A26" s="122" t="str">
        <x:v>P25</x:v>
      </x:c>
      <x:c r="B26" s="126" t="str">
        <x:v>Centro de Datos</x:v>
      </x:c>
      <x:c r="C26" s="111" t="str">
        <x:v>Vista previa, conciliación, errores y reversión</x:v>
      </x:c>
      <x:c r="D26" s="111" t="str">
        <x:v>Control de migración</x:v>
      </x:c>
      <x:c r="E26" s="130" t="str">
        <x:v>Crítica</x:v>
      </x:c>
      <x:c r="F26" s="130" t="str">
        <x:v>Pendiente</x:v>
      </x:c>
      <x:c r="G26" s="112" t="n">
        <x:v>46342</x:v>
      </x:c>
      <x:c r="H26" s="112" t="n">
        <x:v>46344</x:v>
      </x:c>
      <x:c r="I26" s="113" t="n">
        <x:v>3</x:v>
      </x:c>
      <x:c r="J26" s="111" t="str">
        <x:v>P18–P24</x:v>
      </x:c>
      <x:c r="K26" s="111" t="str">
        <x:v>Carga auditada con errores descargables, reintento y rollback</x:v>
      </x:c>
      <x:c r="L26" s="111" t="str">
        <x:v>Ensayo real sin pérdida ni duplicados</x:v>
      </x:c>
    </x:row>
    <x:row r="27" ht="54" customHeight="1">
      <x:c r="A27" s="123" t="str">
        <x:v>P26</x:v>
      </x:c>
      <x:c r="B27" s="127" t="str">
        <x:v>Calidad y Producción</x:v>
      </x:c>
      <x:c r="C27" s="115" t="str">
        <x:v>Corregir orden de migraciones para instalaciones nuevas</x:v>
      </x:c>
      <x:c r="D27" s="115" t="str">
        <x:v>Base de datos</x:v>
      </x:c>
      <x:c r="E27" s="131" t="str">
        <x:v>Crítica</x:v>
      </x:c>
      <x:c r="F27" s="131" t="str">
        <x:v>Pendiente</x:v>
      </x:c>
      <x:c r="G27" s="116" t="n">
        <x:v>46345</x:v>
      </x:c>
      <x:c r="H27" s="116" t="n">
        <x:v>46346</x:v>
      </x:c>
      <x:c r="I27" s="117" t="n">
        <x:v>2</x:v>
      </x:c>
      <x:c r="J27" s="115" t="str">
        <x:v>P25</x:v>
      </x:c>
      <x:c r="K27" s="115" t="str">
        <x:v>Instalación nueva ejecuta migraciones en orden</x:v>
      </x:c>
      <x:c r="L27" s="115" t="str">
        <x:v>Fresh install termina sin pasos manuales</x:v>
      </x:c>
    </x:row>
    <x:row r="28" ht="54" customHeight="1">
      <x:c r="A28" s="124" t="str">
        <x:v>P27</x:v>
      </x:c>
      <x:c r="B28" s="128" t="str">
        <x:v>Calidad y Producción</x:v>
      </x:c>
      <x:c r="C28" s="118" t="str">
        <x:v>Resolver nueve pruebas históricas pendientes</x:v>
      </x:c>
      <x:c r="D28" s="118" t="str">
        <x:v>Pruebas</x:v>
      </x:c>
      <x:c r="E28" s="132" t="str">
        <x:v>Alta</x:v>
      </x:c>
      <x:c r="F28" s="132" t="str">
        <x:v>Pendiente</x:v>
      </x:c>
      <x:c r="G28" s="134" t="n">
        <x:v>46349</x:v>
      </x:c>
      <x:c r="H28" s="134" t="n">
        <x:v>46351</x:v>
      </x:c>
      <x:c r="I28" s="136" t="n">
        <x:v>3</x:v>
      </x:c>
      <x:c r="J28" s="118" t="str">
        <x:v>P26</x:v>
      </x:c>
      <x:c r="K28" s="118" t="str">
        <x:v>Expectativas y fixtures POS/Fidelidad actualizados</x:v>
      </x:c>
      <x:c r="L28" s="119" t="str">
        <x:v>Suite completa en verde sin relajar seguridad</x:v>
      </x:c>
    </x:row>
    <x:row r="29" ht="54" customHeight="1">
      <x:c r="A29" s="124" t="str">
        <x:v>P28</x:v>
      </x:c>
      <x:c r="B29" s="128" t="str">
        <x:v>Calidad y Producción</x:v>
      </x:c>
      <x:c r="C29" s="118" t="str">
        <x:v>Configurar colas, scheduler, optimización y renovaciones</x:v>
      </x:c>
      <x:c r="D29" s="118" t="str">
        <x:v>Operación</x:v>
      </x:c>
      <x:c r="E29" s="132" t="str">
        <x:v>Crítica</x:v>
      </x:c>
      <x:c r="F29" s="132" t="str">
        <x:v>Pendiente</x:v>
      </x:c>
      <x:c r="G29" s="134" t="n">
        <x:v>46352</x:v>
      </x:c>
      <x:c r="H29" s="134" t="n">
        <x:v>46356</x:v>
      </x:c>
      <x:c r="I29" s="136" t="n">
        <x:v>3</x:v>
      </x:c>
      <x:c r="J29" s="118" t="str">
        <x:v>P27</x:v>
      </x:c>
      <x:c r="K29" s="118" t="str">
        <x:v>Worker, cron, cachés, certificados y monitoreo activos</x:v>
      </x:c>
      <x:c r="L29" s="119" t="str">
        <x:v>Tareas y renovaciones verificadas</x:v>
      </x:c>
    </x:row>
    <x:row r="30" ht="54" customHeight="1">
      <x:c r="A30" s="125" t="str">
        <x:v>P29</x:v>
      </x:c>
      <x:c r="B30" s="129" t="str">
        <x:v>Calidad y Producción</x:v>
      </x:c>
      <x:c r="C30" s="120" t="str">
        <x:v>Despliegue final y prueba de humo</x:v>
      </x:c>
      <x:c r="D30" s="120" t="str">
        <x:v>Producción</x:v>
      </x:c>
      <x:c r="E30" s="133" t="str">
        <x:v>Crítica</x:v>
      </x:c>
      <x:c r="F30" s="133" t="str">
        <x:v>Pendiente</x:v>
      </x:c>
      <x:c r="G30" s="135" t="n">
        <x:v>46357</x:v>
      </x:c>
      <x:c r="H30" s="135" t="n">
        <x:v>46358</x:v>
      </x:c>
      <x:c r="I30" s="137" t="n">
        <x:v>2</x:v>
      </x:c>
      <x:c r="J30" s="120" t="str">
        <x:v>P28</x:v>
      </x:c>
      <x:c r="K30" s="120" t="str">
        <x:v>Producción desplegada con respaldo y plan de reversión</x:v>
      </x:c>
      <x:c r="L30" s="121" t="str">
        <x:v>Portal, POS, sucursales e importaciones operativos</x:v>
      </x:c>
    </x:row>
  </x:sheetData>
  <x:conditionalFormatting sqref="F2:F27">
    <x:cfRule type="containsText" dxfId="0" priority="1" operator="containsText" text="Completado"/>
    <x:cfRule type="containsText" dxfId="1" priority="2" operator="containsText" text="En progreso"/>
    <x:cfRule type="containsText" dxfId="2" priority="3" operator="containsText" text="Bloqueado"/>
  </x:conditionalFormatting>
  <x:conditionalFormatting sqref="D2:D27">
    <x:cfRule type="containsText" dxfId="3" priority="4" operator="containsText" text="Crítica"/>
  </x:conditionalFormatting>
  <x:dataValidations count="3">
    <x:dataValidation type="list" sqref="F2:F27">
      <x:formula1>"Pendiente,En progreso,Completado,Bloqueado"</x:formula1>
    </x:dataValidation>
    <x:dataValidation type="list" sqref="F18:F30">
      <x:formula1>Pendiente,En progreso,Bloqueado,Completado</x:formula1>
    </x:dataValidation>
    <x:dataValidation type="list" sqref="E18:E30">
      <x:formula1>Crítica,Alta,Media,Baja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42" hidden="0" customWidth="1"/>
    <x:col min="5" max="5" width="14" hidden="0" customWidth="1"/>
    <x:col min="6" max="6" width="38" hidden="0" customWidth="1"/>
    <x:col min="7" max="7" width="28" hidden="0" customWidth="1"/>
    <x:col min="8" max="8" width="38" hidden="0" customWidth="1"/>
  </x:cols>
  <x:sheetData>
    <x:row r="1" ht="34" customHeight="1">
      <x:c r="A1" s="90" t="str">
        <x:v>Cola de Producción Priorizada</x:v>
      </x:c>
      <x:c r="B1" s="91"/>
      <x:c r="C1" s="91"/>
      <x:c r="D1" s="91"/>
      <x:c r="E1" s="91"/>
      <x:c r="F1" s="91"/>
      <x:c r="G1" s="91"/>
      <x:c r="H1" s="91"/>
    </x:row>
    <x:row r="2" ht="30" customHeight="1">
      <x:c r="A2" s="57" t="str">
        <x:v>Orden recomendado para evitar reprocesos. “Ahora” bloquea las siguientes fases.</x:v>
      </x:c>
      <x:c r="B2" s="56"/>
      <x:c r="C2" s="56"/>
      <x:c r="D2" s="56"/>
      <x:c r="E2" s="56"/>
      <x:c r="F2" s="56"/>
      <x:c r="G2" s="56"/>
      <x:c r="H2" s="56"/>
    </x:row>
    <x:row r="3" ht="28" customHeight="1">
      <x:c r="A3" s="92" t="str">
        <x:v>Orden</x:v>
      </x:c>
      <x:c r="B3" s="92" t="str">
        <x:v>Bloque</x:v>
      </x:c>
      <x:c r="C3" s="92" t="str">
        <x:v>Elementos</x:v>
      </x:c>
      <x:c r="D3" s="92" t="str">
        <x:v>Por qué ahora</x:v>
      </x:c>
      <x:c r="E3" s="92" t="str">
        <x:v>Estado</x:v>
      </x:c>
      <x:c r="F3" s="92" t="str">
        <x:v>Salida</x:v>
      </x:c>
      <x:c r="G3" s="92" t="str">
        <x:v>No mezclar con</x:v>
      </x:c>
      <x:c r="H3" s="92" t="str">
        <x:v>Siguiente decisión</x:v>
      </x:c>
    </x:row>
    <x:row r="4">
      <x:c r="A4" s="89" t="n">
        <x:v>1</x:v>
      </x:c>
      <x:c r="B4" s="89" t="str">
        <x:v>Ahora · Base SaaS</x:v>
      </x:c>
      <x:c r="C4" s="89" t="str">
        <x:v>P01–P06</x:v>
      </x:c>
      <x:c r="D4" s="89" t="str">
        <x:v>Define seguridad, acceso y multisucursal para todo lo demás</x:v>
      </x:c>
      <x:c r="E4" s="89" t="str">
        <x:v>En progreso</x:v>
      </x:c>
      <x:c r="F4" s="89" t="str">
        <x:v>Commit probado + despliegue controlado</x:v>
      </x:c>
      <x:c r="G4" s="89" t="str">
        <x:v>Importaciones y rediseño</x:v>
      </x:c>
      <x:c r="H4" s="89" t="str">
        <x:v>Correo de plataforma y creación de Liberia</x:v>
      </x:c>
    </x:row>
    <x:row r="5">
      <x:c r="A5" s="72" t="n">
        <x:v>2</x:v>
      </x:c>
      <x:c r="B5" s="72" t="str">
        <x:v>Portal y QR</x:v>
      </x:c>
      <x:c r="C5" s="72" t="str">
        <x:v>P07–P10</x:v>
      </x:c>
      <x:c r="D5" s="72" t="str">
        <x:v>Convierte clientes en usuarios de fidelización y hace compartible el portal</x:v>
      </x:c>
      <x:c r="E5" s="72" t="str">
        <x:v>Pendiente</x:v>
      </x:c>
      <x:c r="F5" s="72" t="str">
        <x:v>Registro QR + acceso cajero + marca MYM</x:v>
      </x:c>
      <x:c r="G5" s="72" t="str">
        <x:v>Demo e incentivos</x:v>
      </x:c>
      <x:c r="H5" s="72" t="str">
        <x:v>Método de verificación: correo/WhatsApp</x:v>
      </x:c>
    </x:row>
    <x:row r="6">
      <x:c r="A6" s="72" t="n">
        <x:v>3</x:v>
      </x:c>
      <x:c r="B6" s="72" t="str">
        <x:v>Incentivos</x:v>
      </x:c>
      <x:c r="C6" s="72" t="str">
        <x:v>P11–P12</x:v>
      </x:c>
      <x:c r="D6" s="72" t="str">
        <x:v>Reglas dependen del registro y del POS ya estables</x:v>
      </x:c>
      <x:c r="E6" s="72" t="str">
        <x:v>Pendiente</x:v>
      </x:c>
      <x:c r="F6" s="72" t="str">
        <x:v>Bonos/descuentos auditables</x:v>
      </x:c>
      <x:c r="G6" s="72" t="str">
        <x:v>Importaciones</x:v>
      </x:c>
      <x:c r="H6" s="72" t="str">
        <x:v>Beneficio recomendado por empresa</x:v>
      </x:c>
    </x:row>
    <x:row r="7">
      <x:c r="A7" s="72" t="n">
        <x:v>4</x:v>
      </x:c>
      <x:c r="B7" s="72" t="str">
        <x:v>Demo y UX</x:v>
      </x:c>
      <x:c r="C7" s="72" t="str">
        <x:v>P13–P16</x:v>
      </x:c>
      <x:c r="D7" s="72" t="str">
        <x:v>Mejora venta comercial y uso diario</x:v>
      </x:c>
      <x:c r="E7" s="72" t="str">
        <x:v>Pendiente</x:v>
      </x:c>
      <x:c r="F7" s="72" t="str">
        <x:v>Demo segura + sidebar usable</x:v>
      </x:c>
      <x:c r="G7" s="72" t="str">
        <x:v>Datos reales</x:v>
      </x:c>
      <x:c r="H7" s="72" t="str">
        <x:v>Subdominio demo y política de reinicio</x:v>
      </x:c>
    </x:row>
    <x:row r="8" ht="54" customHeight="1">
      <x:c r="A8" s="124" t="str">
        <x:v>5</x:v>
      </x:c>
      <x:c r="B8" s="128" t="str">
        <x:v>Centro de Datos</x:v>
      </x:c>
      <x:c r="C8" s="118" t="str">
        <x:v>P17–P25</x:v>
      </x:c>
      <x:c r="D8" s="132" t="str">
        <x:v>Hace posible migrar empresas antiguas conservando historial y trazabilidad</x:v>
      </x:c>
      <x:c r="E8" s="118" t="str">
        <x:v>Pendiente</x:v>
      </x:c>
      <x:c r="F8" s="118" t="str">
        <x:v>Paquete completo importación/exportación con conciliación</x:v>
      </x:c>
      <x:c r="G8" s="118" t="str">
        <x:v>Cambios de UI no relacionados</x:v>
      </x:c>
      <x:c r="H8" s="132" t="str">
        <x:v>Formato de archivos de la próxima migración</x:v>
      </x:c>
    </x:row>
    <x:row r="9" ht="54" customHeight="1">
      <x:c r="A9" s="125" t="str">
        <x:v>6</x:v>
      </x:c>
      <x:c r="B9" s="129" t="str">
        <x:v>Calidad y Producción</x:v>
      </x:c>
      <x:c r="C9" s="120" t="str">
        <x:v>P26–P29</x:v>
      </x:c>
      <x:c r="D9" s="133" t="str">
        <x:v>Cierra deuda técnica y prepara un despliegue repetible</x:v>
      </x:c>
      <x:c r="E9" s="120" t="str">
        <x:v>Pendiente</x:v>
      </x:c>
      <x:c r="F9" s="120" t="str">
        <x:v>Suite verde, instalación limpia y producción verificada</x:v>
      </x:c>
      <x:c r="G9" s="120" t="str">
        <x:v>Nuevas funciones</x:v>
      </x:c>
      <x:c r="H9" s="133" t="str">
        <x:v>Ventana de despliegue y respaldo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38" hidden="0" customWidth="1"/>
    <x:col min="5" max="5" width="48" hidden="0" customWidth="1"/>
    <x:col min="6" max="6" width="48" hidden="0" customWidth="1"/>
    <x:col min="7" max="7" width="12" hidden="0" customWidth="1"/>
  </x:cols>
  <x:sheetData>
    <x:row r="1" ht="34" customHeight="1">
      <x:c r="A1" s="90" t="str">
        <x:v>Verificaciones de Funciones Existentes</x:v>
      </x:c>
      <x:c r="B1" s="91"/>
      <x:c r="C1" s="91"/>
      <x:c r="D1" s="91"/>
      <x:c r="E1" s="91"/>
      <x:c r="F1" s="91"/>
      <x:c r="G1" s="91"/>
    </x:row>
    <x:row r="2" ht="30" customHeight="1">
      <x:c r="A2" s="57" t="str">
        <x:v>Qué ya existe, dónde debería encontrarse y qué falta confirmar o mejorar.</x:v>
      </x:c>
      <x:c r="B2" s="56"/>
      <x:c r="C2" s="56"/>
      <x:c r="D2" s="56"/>
      <x:c r="E2" s="56"/>
      <x:c r="F2" s="56"/>
      <x:c r="G2" s="56"/>
    </x:row>
    <x:row r="3" ht="28" customHeight="1">
      <x:c r="A3" s="92" t="str">
        <x:v>Función</x:v>
      </x:c>
      <x:c r="B3" s="92" t="str">
        <x:v>Estado técnico</x:v>
      </x:c>
      <x:c r="C3" s="92" t="str">
        <x:v>Ubicación esperada</x:v>
      </x:c>
      <x:c r="D3" s="92" t="str">
        <x:v>Ruta / permiso</x:v>
      </x:c>
      <x:c r="E3" s="92" t="str">
        <x:v>Qué hace</x:v>
      </x:c>
      <x:c r="F3" s="92" t="str">
        <x:v>Brecha actual</x:v>
      </x:c>
      <x:c r="G3" s="92" t="str">
        <x:v>Acción</x:v>
      </x:c>
    </x:row>
    <x:row r="4">
      <x:c r="A4" s="72" t="str">
        <x:v>Transferencias entre sucursales</x:v>
      </x:c>
      <x:c r="B4" s="72" t="str">
        <x:v>Implementado</x:v>
      </x:c>
      <x:c r="C4" s="72" t="str">
        <x:v>Inventario → Transferencias</x:v>
      </x:c>
      <x:c r="D4" s="72" t="str">
        <x:v>/transferencias · inventario.transferir</x:v>
      </x:c>
      <x:c r="E4" s="72" t="str">
        <x:v>Descuenta origen, aumenta destino y registra transfer_out/transfer_in en Kardex</x:v>
      </x:c>
      <x:c r="F4" s="72" t="str">
        <x:v>Confirmar visibilidad y pruebas en producción con Liberia</x:v>
      </x:c>
      <x:c r="G4" s="72" t="str">
        <x:v>P05–P06</x:v>
      </x:c>
    </x:row>
    <x:row r="5">
      <x:c r="A5" s="72" t="str">
        <x:v>Portal de Clientes MYM</x:v>
      </x:c>
      <x:c r="B5" s="72" t="str">
        <x:v>Implementado parcialmente</x:v>
      </x:c>
      <x:c r="C5" s="72" t="str">
        <x:v>Fidelidad → Portal de Clientes</x:v>
      </x:c>
      <x:c r="D5" s="72" t="str">
        <x:v>/fidelidad/portal-clientes</x:v>
      </x:c>
      <x:c r="E5" s="72" t="str">
        <x:v>Configura portal, enlaces, publicaciones y vista previa</x:v>
      </x:c>
      <x:c r="F5" s="72" t="str">
        <x:v>URL/QR no están presentados de forma simple al cajero</x:v>
      </x:c>
      <x:c r="G5" s="72" t="str">
        <x:v>P07</x:v>
      </x:c>
    </x:row>
    <x:row r="6">
      <x:c r="A6" s="72" t="str">
        <x:v>Ingreso público del portal</x:v>
      </x:c>
      <x:c r="B6" s="72" t="str">
        <x:v>Implementado sin autorregistro</x:v>
      </x:c>
      <x:c r="C6" s="72" t="str">
        <x:v>Portal público</x:v>
      </x:c>
      <x:c r="D6" s="72" t="str">
        <x:v>/portal-clientes/1/ingresar</x:v>
      </x:c>
      <x:c r="E6" s="72" t="str">
        <x:v>Ingreso, recuperación, perfil, compras y comprobantes</x:v>
      </x:c>
      <x:c r="F6" s="72" t="str">
        <x:v>Falta “Crear mi cuenta” y QR de registro</x:v>
      </x:c>
      <x:c r="G6" s="72" t="str">
        <x:v>P08–P10</x:v>
      </x:c>
    </x:row>
    <x:row r="7">
      <x:c r="A7" s="72" t="str">
        <x:v>Centro de Datos</x:v>
      </x:c>
      <x:c r="B7" s="72" t="str">
        <x:v>Parcial / requiere auditoría</x:v>
      </x:c>
      <x:c r="C7" s="72" t="str">
        <x:v>Centro de Datos → Importar</x:v>
      </x:c>
      <x:c r="D7" s="72" t="str">
        <x:v>Permisos y rutas por confirmar</x:v>
      </x:c>
      <x:c r="E7" s="72" t="str">
        <x:v>Debe cargar datos históricos con validación</x:v>
      </x:c>
      <x:c r="F7" s="72" t="str">
        <x:v>No aparecen clientes, productos, facturas, ventas por producto ni puntos</x:v>
      </x:c>
      <x:c r="G7" s="72" t="str">
        <x:v>P17–P22</x:v>
      </x:c>
    </x:row>
    <x:row r="8" ht="62" customHeight="1">
      <x:c r="A8" s="129" t="str">
        <x:v>Paquete de migración</x:v>
      </x:c>
      <x:c r="B8" s="125" t="str">
        <x:v>Pendiente</x:v>
      </x:c>
      <x:c r="C8" s="120" t="str">
        <x:v>Centro de Datos → Migraciones</x:v>
      </x:c>
      <x:c r="D8" s="120" t="str">
        <x:v>Por construir</x:v>
      </x:c>
      <x:c r="E8" s="120" t="str">
        <x:v>Importar y exportar clientes, productos, facturas, ventas por artículo/cliente/sucursal, Kardex y puntos</x:v>
      </x:c>
      <x:c r="F8" s="120" t="str">
        <x:v>Hoy no existe el paquete completo ni la conciliación de históricos</x:v>
      </x:c>
      <x:c r="G8" s="120" t="str">
        <x:v>P17–P25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48" hidden="0" customWidth="1"/>
    <x:col min="4" max="4" width="42" hidden="0" customWidth="1"/>
    <x:col min="5" max="5" width="30" hidden="0" customWidth="1"/>
    <x:col min="6" max="6" width="14" hidden="0" customWidth="1"/>
  </x:cols>
  <x:sheetData>
    <x:row r="1" ht="34" customHeight="1">
      <x:c r="A1" s="90" t="str">
        <x:v>Decisiones Confirmadas</x:v>
      </x:c>
      <x:c r="B1" s="91"/>
      <x:c r="C1" s="91"/>
      <x:c r="D1" s="91"/>
      <x:c r="E1" s="91"/>
      <x:c r="F1" s="91"/>
    </x:row>
    <x:row r="2" ht="30" customHeight="1">
      <x:c r="A2" s="57" t="str">
        <x:v>Reglas de producto que deben mantenerse en todas las implementaciones.</x:v>
      </x:c>
      <x:c r="B2" s="56"/>
      <x:c r="C2" s="56"/>
      <x:c r="D2" s="56"/>
      <x:c r="E2" s="56"/>
      <x:c r="F2" s="56"/>
    </x:row>
    <x:row r="3" ht="28" customHeight="1">
      <x:c r="A3" s="92" t="str">
        <x:v>ID</x:v>
      </x:c>
      <x:c r="B3" s="92" t="str">
        <x:v>Tema</x:v>
      </x:c>
      <x:c r="C3" s="92" t="str">
        <x:v>Decisión</x:v>
      </x:c>
      <x:c r="D3" s="92" t="str">
        <x:v>Motivo</x:v>
      </x:c>
      <x:c r="E3" s="92" t="str">
        <x:v>Impacto</x:v>
      </x:c>
      <x:c r="F3" s="92" t="str">
        <x:v>Estado</x:v>
      </x:c>
    </x:row>
    <x:row r="4">
      <x:c r="A4" s="72" t="str">
        <x:v>D01</x:v>
      </x:c>
      <x:c r="B4" s="72" t="str">
        <x:v>Administración</x:v>
      </x:c>
      <x:c r="C4" s="72" t="str">
        <x:v>Cuenta plataforma y cuentas tenant separadas</x:v>
      </x:c>
      <x:c r="D4" s="72" t="str">
        <x:v>Evita acceso cruzado y mantiene POS para MYM</x:v>
      </x:c>
      <x:c r="E4" s="72" t="str">
        <x:v>Login y permisos</x:v>
      </x:c>
      <x:c r="F4" s="72" t="str">
        <x:v>Confirmada</x:v>
      </x:c>
    </x:row>
    <x:row r="5">
      <x:c r="A5" s="72" t="str">
        <x:v>D02</x:v>
      </x:c>
      <x:c r="B5" s="72" t="str">
        <x:v>Sucursales</x:v>
      </x:c>
      <x:c r="C5" s="72" t="str">
        <x:v>Límite depende de la licencia comprada</x:v>
      </x:c>
      <x:c r="D5" s="72" t="str">
        <x:v>Modelo SaaS flexible</x:v>
      </x:c>
      <x:c r="E5" s="72" t="str">
        <x:v>Creación de sucursales</x:v>
      </x:c>
      <x:c r="F5" s="72" t="str">
        <x:v>Confirmada</x:v>
      </x:c>
    </x:row>
    <x:row r="6">
      <x:c r="A6" s="72" t="str">
        <x:v>D03</x:v>
      </x:c>
      <x:c r="B6" s="72" t="str">
        <x:v>Portal</x:v>
      </x:c>
      <x:c r="C6" s="72" t="str">
        <x:v>Cliente no es usuario empleado</x:v>
      </x:c>
      <x:c r="D6" s="72" t="str">
        <x:v>Privacidad y experiencia sencilla</x:v>
      </x:c>
      <x:c r="E6" s="72" t="str">
        <x:v>Autenticación separada</x:v>
      </x:c>
      <x:c r="F6" s="72" t="str">
        <x:v>Confirmada</x:v>
      </x:c>
    </x:row>
    <x:row r="7">
      <x:c r="A7" s="72" t="str">
        <x:v>D04</x:v>
      </x:c>
      <x:c r="B7" s="72" t="str">
        <x:v>QR</x:v>
      </x:c>
      <x:c r="C7" s="72" t="str">
        <x:v>Registro verificado crea cliente en la empresa correcta</x:v>
      </x:c>
      <x:c r="D7" s="72" t="str">
        <x:v>Facturación inmediata sin duplicados</x:v>
      </x:c>
      <x:c r="E7" s="72" t="str">
        <x:v>Clientes y POS</x:v>
      </x:c>
      <x:c r="F7" s="72" t="str">
        <x:v>Confirmada</x:v>
      </x:c>
    </x:row>
    <x:row r="8">
      <x:c r="A8" s="72" t="str">
        <x:v>D05</x:v>
      </x:c>
      <x:c r="B8" s="72" t="str">
        <x:v>Credenciales</x:v>
      </x:c>
      <x:c r="C8" s="72" t="str">
        <x:v>Contraseña temporal única, mostrada una vez</x:v>
      </x:c>
      <x:c r="D8" s="72" t="str">
        <x:v>Evita contraseña genérica compartida</x:v>
      </x:c>
      <x:c r="E8" s="72" t="str">
        <x:v>Seguridad</x:v>
      </x:c>
      <x:c r="F8" s="72" t="str">
        <x:v>Confirmada</x:v>
      </x:c>
    </x:row>
    <x:row r="9">
      <x:c r="A9" s="72" t="str">
        <x:v>D06</x:v>
      </x:c>
      <x:c r="B9" s="72" t="str">
        <x:v>Incentivo</x:v>
      </x:c>
      <x:c r="C9" s="72" t="str">
        <x:v>Puntos/descuento configurables y una sola vez</x:v>
      </x:c>
      <x:c r="D9" s="72" t="str">
        <x:v>Adaptación comercial por empresa</x:v>
      </x:c>
      <x:c r="E9" s="72" t="str">
        <x:v>Fidelización</x:v>
      </x:c>
      <x:c r="F9" s="72" t="str">
        <x:v>Confirmada</x:v>
      </x:c>
    </x:row>
    <x:row r="10">
      <x:c r="A10" s="72" t="str">
        <x:v>D07</x:v>
      </x:c>
      <x:c r="B10" s="72" t="str">
        <x:v>Demo</x:v>
      </x:c>
      <x:c r="C10" s="72" t="str">
        <x:v>Datos ficticios separados y reiniciables</x:v>
      </x:c>
      <x:c r="D10" s="72" t="str">
        <x:v>Protege producción</x:v>
      </x:c>
      <x:c r="E10" s="72" t="str">
        <x:v>Ventas y capacitación</x:v>
      </x:c>
      <x:c r="F10" s="72" t="str">
        <x:v>Confirmada</x:v>
      </x:c>
    </x:row>
    <x:row r="11">
      <x:c r="A11" s="72" t="str">
        <x:v>D08</x:v>
      </x:c>
      <x:c r="B11" s="72" t="str">
        <x:v>Importación</x:v>
      </x:c>
      <x:c r="C11" s="72" t="str">
        <x:v>Auditar y reutilizar antes de construir</x:v>
      </x:c>
      <x:c r="D11" s="72" t="str">
        <x:v>No duplicar importador de Compras</x:v>
      </x:c>
      <x:c r="E11" s="72" t="str">
        <x:v>Centro de Datos</x:v>
      </x:c>
      <x:c r="F11" s="72" t="str">
        <x:v>Confirmada</x:v>
      </x:c>
    </x:row>
    <x:row r="12">
      <x:c r="A12" s="72" t="str">
        <x:v>D09</x:v>
      </x:c>
      <x:c r="B12" s="72" t="str">
        <x:v>Portal visible</x:v>
      </x:c>
      <x:c r="C12" s="72" t="str">
        <x:v>Mostrar enlace, copiar, WhatsApp, QR y preview</x:v>
      </x:c>
      <x:c r="D12" s="72" t="str">
        <x:v>El cajero no memoriza URLs</x:v>
      </x:c>
      <x:c r="E12" s="72" t="str">
        <x:v>Operación diaria</x:v>
      </x:c>
      <x:c r="F12" s="72" t="str">
        <x:v>Confirmada</x:v>
      </x:c>
    </x:row>
    <x:row r="13">
      <x:c r="A13" s="72" t="str">
        <x:v>D10</x:v>
      </x:c>
      <x:c r="B13" s="72" t="str">
        <x:v>Transferencias</x:v>
      </x:c>
      <x:c r="C13" s="72" t="str">
        <x:v>Usar movimientos y Kardex por sucursal</x:v>
      </x:c>
      <x:c r="D13" s="72" t="str">
        <x:v>Trazabilidad de inventario</x:v>
      </x:c>
      <x:c r="E13" s="72" t="str">
        <x:v>Inventario</x:v>
      </x:c>
      <x:c r="F13" s="72" t="str">
        <x:v>Confirmada</x:v>
      </x:c>
    </x:row>
    <x:row r="14" ht="52" customHeight="1">
      <x:c r="A14" s="124" t="str">
        <x:v>D11</x:v>
      </x:c>
      <x:c r="B14" s="128" t="str">
        <x:v>Migración</x:v>
      </x:c>
      <x:c r="C14" s="118" t="str">
        <x:v>Toda importación crítica tendrá una exportación equivalente</x:v>
      </x:c>
      <x:c r="D14" s="118" t="str">
        <x:v>Evita dependencia del sistema y facilita futuras migraciones</x:v>
      </x:c>
      <x:c r="E14" s="118" t="str">
        <x:v>Centro de Datos</x:v>
      </x:c>
      <x:c r="F14" s="138" t="str">
        <x:v>Confirmada</x:v>
      </x:c>
    </x:row>
    <x:row r="15" ht="52" customHeight="1">
      <x:c r="A15" s="125" t="str">
        <x:v>D12</x:v>
      </x:c>
      <x:c r="B15" s="129" t="str">
        <x:v>Históricos</x:v>
      </x:c>
      <x:c r="C15" s="120" t="str">
        <x:v>El modo histórico no alterará caja ni stock actual por defecto</x:v>
      </x:c>
      <x:c r="D15" s="120" t="str">
        <x:v>Protege la operación durante cargas de datos antiguos</x:v>
      </x:c>
      <x:c r="E15" s="120" t="str">
        <x:v>Ventas e inventario</x:v>
      </x:c>
      <x:c r="F15" s="139" t="str">
        <x:v>Confirmada</x:v>
      </x:c>
    </x:row>
  </x:sheetData>
  <x:mergeCells>
    <x:mergeCell ref="A1:F1"/>
    <x:mergeCell ref="A2:F2"/>
  </x:mergeCells>
  <x:pageMargins left="0.7" right="0.7" top="0.75" bottom="0.75" header="0.3" footer="0.3"/>
</x:worksheet>
</file>